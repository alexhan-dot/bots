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nner" sheetId="2" state="visible" r:id="rId2"/>
    <sheet name="Client Board" sheetId="3" state="visible" r:id="rId3"/>
    <sheet name="Farming Board" sheetId="4" state="visible" r:id="rId4"/>
    <sheet name="TL Board" sheetId="5" state="visible" r:id="rId5"/>
    <sheet name="Schedule" sheetId="6" state="visible" r:id="rId6"/>
    <sheet name="Accounts" sheetId="7" state="visible" r:id="rId7"/>
    <sheet name="Glossary" sheetId="8" state="visible" r:id="rId8"/>
    <sheet name="EventLog" sheetId="9" state="visible" r:id="rId9"/>
    <sheet name="TL Schedule" sheetId="10" state="visible" r:id="rId10"/>
    <sheet name="Payroll" sheetId="11" state="visible" r:id="rId11"/>
    <sheet name="Payroll History" sheetId="12" state="visible" r:id="rId12"/>
    <sheet name="Overtime" sheetId="13" state="visible" r:id="rId13"/>
    <sheet name="Incentives" sheetId="14" state="visible" r:id="rId14"/>
    <sheet name="Death Penalty" sheetId="15" state="visible" r:id="rId15"/>
    <sheet name="Settings" sheetId="16" state="visible" r:id="rId16"/>
    <sheet name="Performance Pay" sheetId="17" state="visible" r:id="rId17"/>
  </sheets>
  <definedNames>
    <definedName name="_xlnm._FilterDatabase" localSheetId="5" hidden="1">'Schedule'!$A$1:$O$1</definedName>
    <definedName name="_xlnm._FilterDatabase" localSheetId="6" hidden="1">'Accounts'!$A$1:$K$64</definedName>
    <definedName name="_xlnm._FilterDatabase" localSheetId="9" hidden="1">'TL Schedule'!$A$1:$F$1</definedName>
    <definedName name="_xlnm._FilterDatabase" localSheetId="11" hidden="1">'Payroll History'!$A$1:$E$1</definedName>
    <definedName name="_xlnm._FilterDatabase" localSheetId="12" hidden="1">'Overtime'!$A$1:$L$1</definedName>
    <definedName name="_xlnm._FilterDatabase" localSheetId="13" hidden="1">'Incentives'!$A$1:$L$1</definedName>
    <definedName name="_xlnm._FilterDatabase" localSheetId="14" hidden="1">'Death Penalty'!$A$1:$J$1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  <color rgb="007F7F7F"/>
    </font>
    <font>
      <b val="1"/>
      <sz val="13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5">
    <dxf>
      <font>
        <color rgb="00999999"/>
      </font>
      <fill>
        <patternFill patternType="solid">
          <fgColor rgb="00EDEDED"/>
        </patternFill>
      </fill>
    </dxf>
    <dxf>
      <font>
        <b val="1"/>
      </font>
      <fill>
        <patternFill patternType="solid">
          <fgColor rgb="00DDEBF7"/>
        </patternFill>
      </fill>
    </dxf>
    <dxf>
      <font>
        <b val="1"/>
      </font>
      <fill>
        <patternFill patternType="solid">
          <fgColor rgb="00E2EFDA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Lineage Schedule v2 — 사용 안내</t>
        </is>
      </c>
    </row>
    <row r="2">
      <c r="A2" s="2" t="inlineStr"/>
    </row>
    <row r="3">
      <c r="A3" s="3" t="inlineStr">
        <is>
          <t>탭 구성</t>
        </is>
      </c>
    </row>
    <row r="4">
      <c r="A4" s="2" t="inlineStr">
        <is>
          <t>• Client Board / Farming Board — 고객 계정 / 농장 계정 주간 보기 (수식, 직접 수정 금지). B2에 주 시작 일요일 입력하면 다른 주 조회</t>
        </is>
      </c>
    </row>
    <row r="5">
      <c r="A5" s="2" t="inlineStr">
        <is>
          <t>• Schedule — 원장. 1행 = 계정 × 날짜 × 시프트(Slot). 시간·플레이어·사냥터·KPI·골드·물약을 여기서 입력/수정 (필터 사용)</t>
        </is>
      </c>
    </row>
    <row r="6">
      <c r="A6" s="2" t="inlineStr">
        <is>
          <t xml:space="preserve">   - Time: HH:MM-HH:MM 또는 OFF.  Hours/Week/Key/Display/Maint Hrs/Pay Week(P~U열)는 자동 계산 — 건드리지 말 것</t>
        </is>
      </c>
    </row>
    <row r="7">
      <c r="A7" s="2" t="inlineStr">
        <is>
          <t>• Planner — 기간 스케줄 입력 (예: 10/1~10/31 평일 09:00-17:00 Cejay). 행을 채우고 디스코드 /plan → 미리보기 → Apply</t>
        </is>
      </c>
    </row>
    <row r="8">
      <c r="A8" s="2" t="inlineStr">
        <is>
          <t>• Settings — 정기점검 요일·시간 (기본 수요일 05:00-09:00). 겹치는 시프트 시간은 Hours에서 자동 차감</t>
        </is>
      </c>
    </row>
    <row r="9">
      <c r="A9" s="2" t="inlineStr">
        <is>
          <t>• Accounts — 계정 마스터. Type=Client(고객) / Farming(농장), Status=Active/Paused/Inactive, Customer=고객명, SalesRep=담당 영업</t>
        </is>
      </c>
    </row>
    <row r="10">
      <c r="A10" s="2" t="inlineStr">
        <is>
          <t>• TL Board / TL Schedule — 팀 리더 근무표 (Board = 주간 보기, Schedule = 입력: 근무시간·출근). TL OT는 Overtime 탭 (Role=TL). 이관: Week 16~39 + 다음 주 초안</t>
        </is>
      </c>
    </row>
    <row r="11">
      <c r="A11" s="2" t="inlineStr">
        <is>
          <t>• Overtime / Incentives / Death Penalty — 매니저 기록 로그 (디스코드 봇 /ot /incentive /penalty 로 입력, 직접 입력도 가능). Performance Pay — 인센티브 기준표</t>
        </is>
      </c>
    </row>
    <row r="12">
      <c r="A12" s="2" t="inlineStr">
        <is>
          <t>• Payroll — 2주 단위(월~일 × 2, 예: 9/21~10/4) 직원별 1·2주차 근무시간, OT, 페널티, 지급 시간, 인센티브 합계, 담당 캐릭터 자동 집계. B2에 기간 시작일 입력하면 과거 기간 조회 / Payroll History — 기존 수기 Payroll(W19·20·33·34)</t>
        </is>
      </c>
    </row>
    <row r="13">
      <c r="A13" s="2" t="inlineStr">
        <is>
          <t>• Glossary — 봇 용어 사전 / EventLog — 봇 기록(질문·재접속·정보)</t>
        </is>
      </c>
    </row>
    <row r="14">
      <c r="A14" s="2" t="inlineStr"/>
    </row>
    <row r="15">
      <c r="A15" s="3" t="inlineStr">
        <is>
          <t>운영 규칙</t>
        </is>
      </c>
    </row>
    <row r="16">
      <c r="A16" s="2" t="inlineStr">
        <is>
          <t>• 새 주 행은 봇이 자동 생성: 직전 주의 시간·사냥터를 복사하고 플레이어·실적은 비움 (Active 계정만). TL 근무표는 /week 명령 때 근무시간만 복사</t>
        </is>
      </c>
    </row>
    <row r="17">
      <c r="A17" s="2" t="inlineStr">
        <is>
          <t>• 계정을 고객↔농장으로 옮기려면 Accounts의 Type만 바꾸면 됨 (다음 주 생성분부터 반영, 이번 주는 Schedule C열도 변경)</t>
        </is>
      </c>
    </row>
    <row r="18">
      <c r="A18" s="2" t="inlineStr">
        <is>
          <t>• 로그인 정보(ID/비밀번호)는 이 시트에 절대 넣지 말 것</t>
        </is>
      </c>
    </row>
    <row r="19">
      <c r="A19" s="2" t="inlineStr"/>
    </row>
    <row r="20">
      <c r="A20" s="2" t="inlineStr">
        <is>
          <t>이관: 원본 'TargetWeek39(9.20~9.26.)' (2026-09-20~2026-09-26) + 다음 주 초안. 이후 주는 봇이 자동 생성 (/week 명령으로 미리 생성 가능)</t>
        </is>
      </c>
    </row>
    <row r="21">
      <c r="A21" s="2" t="inlineStr"/>
    </row>
    <row r="22">
      <c r="A22" s="3" t="inlineStr">
        <is>
          <t>⚠️ 확인 필요 — 마스터 CSV와 시트 배치가 다른 계정 (현재는 시트 배치 기준)</t>
        </is>
      </c>
    </row>
    <row r="23">
      <c r="A23" s="2" t="inlineStr">
        <is>
          <t xml:space="preserve">   Kangaroo: 마스터=Client / 시트 배치=Farming</t>
        </is>
      </c>
    </row>
    <row r="24">
      <c r="A24" s="2" t="inlineStr">
        <is>
          <t xml:space="preserve">   Kyoryu: 마스터=Client / 시트 배치=Farming</t>
        </is>
      </c>
    </row>
    <row r="25">
      <c r="A25" s="2" t="inlineStr">
        <is>
          <t xml:space="preserve">   Pele: 마스터=Client / 시트 배치=Farming</t>
        </is>
      </c>
    </row>
    <row r="26">
      <c r="A26" s="2" t="inlineStr">
        <is>
          <t xml:space="preserve">   Sarim: 마스터=Client / 시트 배치=Farming</t>
        </is>
      </c>
    </row>
    <row r="27">
      <c r="A27" s="2" t="inlineStr">
        <is>
          <t xml:space="preserve">   Sudden: 마스터=Client / 시트 배치=Farming</t>
        </is>
      </c>
    </row>
    <row r="28">
      <c r="A28" s="2" t="inlineStr">
        <is>
          <t xml:space="preserve">   Taejo: 마스터=Client / 시트 배치=Farming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4" customWidth="1" min="3" max="3"/>
    <col width="13" customWidth="1" min="4" max="4"/>
    <col width="16" customWidth="1" min="5" max="5"/>
    <col width="18" customWidth="1" min="6" max="6"/>
    <col width="11" customWidth="1" min="7" max="7"/>
    <col width="11" customWidth="1" min="8" max="8"/>
    <col width="60" customWidth="1" min="9" max="9"/>
  </cols>
  <sheetData>
    <row r="1">
      <c r="A1" s="4" t="inlineStr">
        <is>
          <t>Account</t>
        </is>
      </c>
      <c r="B1" s="4" t="inlineStr">
        <is>
          <t>Slot</t>
        </is>
      </c>
      <c r="C1" s="4" t="inlineStr">
        <is>
          <t>Days</t>
        </is>
      </c>
      <c r="D1" s="4" t="inlineStr">
        <is>
          <t>Time</t>
        </is>
      </c>
      <c r="E1" s="4" t="inlineStr">
        <is>
          <t>Player</t>
        </is>
      </c>
      <c r="F1" s="4" t="inlineStr">
        <is>
          <t>Hunting Ground</t>
        </is>
      </c>
      <c r="G1" s="4" t="inlineStr">
        <is>
          <t>From</t>
        </is>
      </c>
      <c r="H1" s="4" t="inlineStr">
        <is>
          <t>To</t>
        </is>
      </c>
      <c r="I1" s="4" t="inlineStr">
        <is>
          <t>Status</t>
        </is>
      </c>
    </row>
    <row r="2">
      <c r="A2" t="inlineStr">
        <is>
          <t>ADA</t>
        </is>
      </c>
      <c r="B2" t="n">
        <v>1</v>
      </c>
      <c r="C2" t="inlineStr">
        <is>
          <t>Mon-Fri</t>
        </is>
      </c>
      <c r="D2" t="inlineStr">
        <is>
          <t>09:00-17:00</t>
        </is>
      </c>
      <c r="E2" t="inlineStr">
        <is>
          <t>Cejay</t>
        </is>
      </c>
      <c r="F2" t="inlineStr"/>
      <c r="G2" t="inlineStr">
        <is>
          <t>2026-10-01</t>
        </is>
      </c>
      <c r="H2" t="inlineStr">
        <is>
          <t>2026-10-31</t>
        </is>
      </c>
      <c r="I2" t="inlineStr">
        <is>
          <t>EXAMPLE — delete this row. Blank Player/Ground = keep what's there. Days: Daily, Mon-Fri, Weekends, Mon,Wed,Fri. Then run /plan in Discord.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7" customWidth="1" min="10" max="10"/>
  </cols>
  <sheetData>
    <row r="1">
      <c r="A1" s="5" t="inlineStr">
        <is>
          <t>CLIENT (고객) ACCOUNTS — Weekly Board</t>
        </is>
      </c>
    </row>
    <row r="2">
      <c r="A2" s="6" t="inlineStr">
        <is>
          <t>Week start (Sun):</t>
        </is>
      </c>
      <c r="B2" s="7">
        <f>TEXT(TODAY()-WEEKDAY(TODAY())+1,"yyyy-mm-dd")</f>
        <v/>
      </c>
      <c r="D2" s="8" t="inlineStr">
        <is>
          <t>← 다른 주를 보려면 일요일 날짜(yyyy-mm-dd)를 직접 입력. 이 탭은 보기 전용 — 수정은 Schedule 탭에서.</t>
        </is>
      </c>
    </row>
    <row r="3">
      <c r="A3" s="9" t="inlineStr">
        <is>
          <t>Account</t>
        </is>
      </c>
      <c r="B3" s="9" t="inlineStr">
        <is>
          <t>Slot</t>
        </is>
      </c>
      <c r="C3" s="9" t="inlineStr">
        <is>
          <t>Sun</t>
        </is>
      </c>
      <c r="D3" s="9" t="inlineStr">
        <is>
          <t>Mon</t>
        </is>
      </c>
      <c r="E3" s="9" t="inlineStr">
        <is>
          <t>Tue</t>
        </is>
      </c>
      <c r="F3" s="9" t="inlineStr">
        <is>
          <t>Wed</t>
        </is>
      </c>
      <c r="G3" s="9" t="inlineStr">
        <is>
          <t>Thu</t>
        </is>
      </c>
      <c r="H3" s="9" t="inlineStr">
        <is>
          <t>Fri</t>
        </is>
      </c>
      <c r="I3" s="9" t="inlineStr">
        <is>
          <t>Sat</t>
        </is>
      </c>
      <c r="J3" s="9" t="inlineStr">
        <is>
          <t>Hours</t>
        </is>
      </c>
    </row>
    <row r="4">
      <c r="A4" s="8" t="inlineStr">
        <is>
          <t>date →</t>
        </is>
      </c>
      <c r="C4" s="10">
        <f>TEXT(DATEVALUE($B$2)+0,"yyyy-mm-dd")</f>
        <v/>
      </c>
      <c r="D4" s="10">
        <f>TEXT(DATEVALUE($B$2)+1,"yyyy-mm-dd")</f>
        <v/>
      </c>
      <c r="E4" s="10">
        <f>TEXT(DATEVALUE($B$2)+2,"yyyy-mm-dd")</f>
        <v/>
      </c>
      <c r="F4" s="10">
        <f>TEXT(DATEVALUE($B$2)+3,"yyyy-mm-dd")</f>
        <v/>
      </c>
      <c r="G4" s="10">
        <f>TEXT(DATEVALUE($B$2)+4,"yyyy-mm-dd")</f>
        <v/>
      </c>
      <c r="H4" s="10">
        <f>TEXT(DATEVALUE($B$2)+5,"yyyy-mm-dd")</f>
        <v/>
      </c>
      <c r="I4" s="10">
        <f>TEXT(DATEVALUE($B$2)+6,"yyyy-mm-dd")</f>
        <v/>
      </c>
    </row>
    <row r="5">
      <c r="A5" t="inlineStr">
        <is>
          <t>ADA</t>
        </is>
      </c>
      <c r="B5" t="n">
        <v>1</v>
      </c>
      <c r="C5">
        <f>ARRAYFORMULA(IF($A5:$A300="","",IFERROR(VLOOKUP(C$4&amp;"|"&amp;$A5:$A300&amp;"|"&amp;$B5:$B300,Schedule!$R:$S,2,FALSE),"")))</f>
        <v/>
      </c>
      <c r="D5">
        <f>ARRAYFORMULA(IF($A5:$A300="","",IFERROR(VLOOKUP(D$4&amp;"|"&amp;$A5:$A300&amp;"|"&amp;$B5:$B300,Schedule!$R:$S,2,FALSE),"")))</f>
        <v/>
      </c>
      <c r="E5">
        <f>ARRAYFORMULA(IF($A5:$A300="","",IFERROR(VLOOKUP(E$4&amp;"|"&amp;$A5:$A300&amp;"|"&amp;$B5:$B300,Schedule!$R:$S,2,FALSE),"")))</f>
        <v/>
      </c>
      <c r="F5">
        <f>ARRAYFORMULA(IF($A5:$A300="","",IFERROR(VLOOKUP(F$4&amp;"|"&amp;$A5:$A300&amp;"|"&amp;$B5:$B300,Schedule!$R:$S,2,FALSE),"")))</f>
        <v/>
      </c>
      <c r="G5">
        <f>ARRAYFORMULA(IF($A5:$A300="","",IFERROR(VLOOKUP(G$4&amp;"|"&amp;$A5:$A300&amp;"|"&amp;$B5:$B300,Schedule!$R:$S,2,FALSE),"")))</f>
        <v/>
      </c>
      <c r="H5">
        <f>ARRAYFORMULA(IF($A5:$A300="","",IFERROR(VLOOKUP(H$4&amp;"|"&amp;$A5:$A300&amp;"|"&amp;$B5:$B300,Schedule!$R:$S,2,FALSE),"")))</f>
        <v/>
      </c>
      <c r="I5">
        <f>ARRAYFORMULA(IF($A5:$A300="","",IFERROR(VLOOKUP(I$4&amp;"|"&amp;$A5:$A300&amp;"|"&amp;$B5:$B300,Schedule!$R:$S,2,FALSE),"")))</f>
        <v/>
      </c>
      <c r="J5">
        <f>IF($A5="","",SUMIFS(Schedule!$P:$P,Schedule!$Q:$Q,$B$2,Schedule!$D:$D,$A5,Schedule!$E:$E,$B5))</f>
        <v/>
      </c>
    </row>
    <row r="6">
      <c r="A6" t="inlineStr">
        <is>
          <t>ADA</t>
        </is>
      </c>
      <c r="B6" t="n">
        <v>2</v>
      </c>
      <c r="J6">
        <f>IF($A6="","",SUMIFS(Schedule!$P:$P,Schedule!$Q:$Q,$B$2,Schedule!$D:$D,$A6,Schedule!$E:$E,$B6))</f>
        <v/>
      </c>
    </row>
    <row r="7">
      <c r="A7" t="inlineStr">
        <is>
          <t>Alex</t>
        </is>
      </c>
      <c r="B7" t="n">
        <v>1</v>
      </c>
      <c r="J7">
        <f>IF($A7="","",SUMIFS(Schedule!$P:$P,Schedule!$Q:$Q,$B$2,Schedule!$D:$D,$A7,Schedule!$E:$E,$B7))</f>
        <v/>
      </c>
    </row>
    <row r="8">
      <c r="A8" t="inlineStr">
        <is>
          <t>Alex</t>
        </is>
      </c>
      <c r="B8" t="n">
        <v>2</v>
      </c>
      <c r="J8">
        <f>IF($A8="","",SUMIFS(Schedule!$P:$P,Schedule!$Q:$Q,$B$2,Schedule!$D:$D,$A8,Schedule!$E:$E,$B8))</f>
        <v/>
      </c>
    </row>
    <row r="9">
      <c r="A9" t="inlineStr">
        <is>
          <t>Alex</t>
        </is>
      </c>
      <c r="B9" t="n">
        <v>3</v>
      </c>
      <c r="J9">
        <f>IF($A9="","",SUMIFS(Schedule!$P:$P,Schedule!$Q:$Q,$B$2,Schedule!$D:$D,$A9,Schedule!$E:$E,$B9))</f>
        <v/>
      </c>
    </row>
    <row r="10">
      <c r="A10" t="inlineStr">
        <is>
          <t>Beongaebul</t>
        </is>
      </c>
      <c r="B10" t="n">
        <v>1</v>
      </c>
      <c r="J10">
        <f>IF($A10="","",SUMIFS(Schedule!$P:$P,Schedule!$Q:$Q,$B$2,Schedule!$D:$D,$A10,Schedule!$E:$E,$B10))</f>
        <v/>
      </c>
    </row>
    <row r="11">
      <c r="A11" t="inlineStr">
        <is>
          <t>Captain</t>
        </is>
      </c>
      <c r="B11" t="n">
        <v>1</v>
      </c>
      <c r="J11">
        <f>IF($A11="","",SUMIFS(Schedule!$P:$P,Schedule!$Q:$Q,$B$2,Schedule!$D:$D,$A11,Schedule!$E:$E,$B11))</f>
        <v/>
      </c>
    </row>
    <row r="12">
      <c r="A12" t="inlineStr">
        <is>
          <t>Captain</t>
        </is>
      </c>
      <c r="B12" t="n">
        <v>2</v>
      </c>
      <c r="J12">
        <f>IF($A12="","",SUMIFS(Schedule!$P:$P,Schedule!$Q:$Q,$B$2,Schedule!$D:$D,$A12,Schedule!$E:$E,$B12))</f>
        <v/>
      </c>
    </row>
    <row r="13">
      <c r="A13" t="inlineStr">
        <is>
          <t>Dalo</t>
        </is>
      </c>
      <c r="B13" t="n">
        <v>1</v>
      </c>
      <c r="J13">
        <f>IF($A13="","",SUMIFS(Schedule!$P:$P,Schedule!$Q:$Q,$B$2,Schedule!$D:$D,$A13,Schedule!$E:$E,$B13))</f>
        <v/>
      </c>
    </row>
    <row r="14">
      <c r="A14" t="inlineStr">
        <is>
          <t>Dalo</t>
        </is>
      </c>
      <c r="B14" t="n">
        <v>2</v>
      </c>
      <c r="J14">
        <f>IF($A14="","",SUMIFS(Schedule!$P:$P,Schedule!$Q:$Q,$B$2,Schedule!$D:$D,$A14,Schedule!$E:$E,$B14))</f>
        <v/>
      </c>
    </row>
    <row r="15">
      <c r="A15" t="inlineStr">
        <is>
          <t>Dalo</t>
        </is>
      </c>
      <c r="B15" t="n">
        <v>3</v>
      </c>
      <c r="J15">
        <f>IF($A15="","",SUMIFS(Schedule!$P:$P,Schedule!$Q:$Q,$B$2,Schedule!$D:$D,$A15,Schedule!$E:$E,$B15))</f>
        <v/>
      </c>
    </row>
    <row r="16">
      <c r="A16" t="inlineStr">
        <is>
          <t>Dodam</t>
        </is>
      </c>
      <c r="B16" t="n">
        <v>1</v>
      </c>
      <c r="J16">
        <f>IF($A16="","",SUMIFS(Schedule!$P:$P,Schedule!$Q:$Q,$B$2,Schedule!$D:$D,$A16,Schedule!$E:$E,$B16))</f>
        <v/>
      </c>
    </row>
    <row r="17">
      <c r="A17" t="inlineStr">
        <is>
          <t>Dodam</t>
        </is>
      </c>
      <c r="B17" t="n">
        <v>2</v>
      </c>
      <c r="J17">
        <f>IF($A17="","",SUMIFS(Schedule!$P:$P,Schedule!$Q:$Q,$B$2,Schedule!$D:$D,$A17,Schedule!$E:$E,$B17))</f>
        <v/>
      </c>
    </row>
    <row r="18">
      <c r="A18" t="inlineStr">
        <is>
          <t>Dol</t>
        </is>
      </c>
      <c r="B18" t="n">
        <v>1</v>
      </c>
      <c r="J18">
        <f>IF($A18="","",SUMIFS(Schedule!$P:$P,Schedule!$Q:$Q,$B$2,Schedule!$D:$D,$A18,Schedule!$E:$E,$B18))</f>
        <v/>
      </c>
    </row>
    <row r="19">
      <c r="A19" t="inlineStr">
        <is>
          <t>Dol</t>
        </is>
      </c>
      <c r="B19" t="n">
        <v>2</v>
      </c>
      <c r="J19">
        <f>IF($A19="","",SUMIFS(Schedule!$P:$P,Schedule!$Q:$Q,$B$2,Schedule!$D:$D,$A19,Schedule!$E:$E,$B19))</f>
        <v/>
      </c>
    </row>
    <row r="20">
      <c r="A20" t="inlineStr">
        <is>
          <t>Doma</t>
        </is>
      </c>
      <c r="B20" t="n">
        <v>1</v>
      </c>
      <c r="J20">
        <f>IF($A20="","",SUMIFS(Schedule!$P:$P,Schedule!$Q:$Q,$B$2,Schedule!$D:$D,$A20,Schedule!$E:$E,$B20))</f>
        <v/>
      </c>
    </row>
    <row r="21">
      <c r="A21" t="inlineStr">
        <is>
          <t>Doma</t>
        </is>
      </c>
      <c r="B21" t="n">
        <v>2</v>
      </c>
      <c r="J21">
        <f>IF($A21="","",SUMIFS(Schedule!$P:$P,Schedule!$Q:$Q,$B$2,Schedule!$D:$D,$A21,Schedule!$E:$E,$B21))</f>
        <v/>
      </c>
    </row>
    <row r="22">
      <c r="A22" t="inlineStr">
        <is>
          <t>Duga</t>
        </is>
      </c>
      <c r="B22" t="n">
        <v>1</v>
      </c>
      <c r="J22">
        <f>IF($A22="","",SUMIFS(Schedule!$P:$P,Schedule!$Q:$Q,$B$2,Schedule!$D:$D,$A22,Schedule!$E:$E,$B22))</f>
        <v/>
      </c>
    </row>
    <row r="23">
      <c r="A23" t="inlineStr">
        <is>
          <t>Elf</t>
        </is>
      </c>
      <c r="B23" t="n">
        <v>1</v>
      </c>
      <c r="J23">
        <f>IF($A23="","",SUMIFS(Schedule!$P:$P,Schedule!$Q:$Q,$B$2,Schedule!$D:$D,$A23,Schedule!$E:$E,$B23))</f>
        <v/>
      </c>
    </row>
    <row r="24">
      <c r="A24" t="inlineStr">
        <is>
          <t>Geonbae</t>
        </is>
      </c>
      <c r="B24" t="n">
        <v>1</v>
      </c>
      <c r="J24">
        <f>IF($A24="","",SUMIFS(Schedule!$P:$P,Schedule!$Q:$Q,$B$2,Schedule!$D:$D,$A24,Schedule!$E:$E,$B24))</f>
        <v/>
      </c>
    </row>
    <row r="25">
      <c r="A25" t="inlineStr">
        <is>
          <t>Geonbae</t>
        </is>
      </c>
      <c r="B25" t="n">
        <v>2</v>
      </c>
      <c r="J25">
        <f>IF($A25="","",SUMIFS(Schedule!$P:$P,Schedule!$Q:$Q,$B$2,Schedule!$D:$D,$A25,Schedule!$E:$E,$B25))</f>
        <v/>
      </c>
    </row>
    <row r="26">
      <c r="A26" t="inlineStr">
        <is>
          <t>Goop</t>
        </is>
      </c>
      <c r="B26" t="n">
        <v>1</v>
      </c>
      <c r="J26">
        <f>IF($A26="","",SUMIFS(Schedule!$P:$P,Schedule!$Q:$Q,$B$2,Schedule!$D:$D,$A26,Schedule!$E:$E,$B26))</f>
        <v/>
      </c>
    </row>
    <row r="27">
      <c r="A27" t="inlineStr">
        <is>
          <t>Heon</t>
        </is>
      </c>
      <c r="B27" t="n">
        <v>1</v>
      </c>
      <c r="J27">
        <f>IF($A27="","",SUMIFS(Schedule!$P:$P,Schedule!$Q:$Q,$B$2,Schedule!$D:$D,$A27,Schedule!$E:$E,$B27))</f>
        <v/>
      </c>
    </row>
    <row r="28">
      <c r="A28" t="inlineStr">
        <is>
          <t>Jjuni</t>
        </is>
      </c>
      <c r="B28" t="n">
        <v>1</v>
      </c>
      <c r="J28">
        <f>IF($A28="","",SUMIFS(Schedule!$P:$P,Schedule!$Q:$Q,$B$2,Schedule!$D:$D,$A28,Schedule!$E:$E,$B28))</f>
        <v/>
      </c>
    </row>
    <row r="29">
      <c r="A29" t="inlineStr">
        <is>
          <t>Jjuni</t>
        </is>
      </c>
      <c r="B29" t="n">
        <v>2</v>
      </c>
      <c r="J29">
        <f>IF($A29="","",SUMIFS(Schedule!$P:$P,Schedule!$Q:$Q,$B$2,Schedule!$D:$D,$A29,Schedule!$E:$E,$B29))</f>
        <v/>
      </c>
    </row>
    <row r="30">
      <c r="A30" t="inlineStr">
        <is>
          <t>Jjuni</t>
        </is>
      </c>
      <c r="B30" t="n">
        <v>3</v>
      </c>
      <c r="J30">
        <f>IF($A30="","",SUMIFS(Schedule!$P:$P,Schedule!$Q:$Q,$B$2,Schedule!$D:$D,$A30,Schedule!$E:$E,$B30))</f>
        <v/>
      </c>
    </row>
    <row r="31">
      <c r="A31" t="inlineStr">
        <is>
          <t>Jo</t>
        </is>
      </c>
      <c r="B31" t="n">
        <v>1</v>
      </c>
      <c r="J31">
        <f>IF($A31="","",SUMIFS(Schedule!$P:$P,Schedule!$Q:$Q,$B$2,Schedule!$D:$D,$A31,Schedule!$E:$E,$B31))</f>
        <v/>
      </c>
    </row>
    <row r="32">
      <c r="A32" t="inlineStr">
        <is>
          <t>Lammy Queen</t>
        </is>
      </c>
      <c r="B32" t="n">
        <v>1</v>
      </c>
      <c r="J32">
        <f>IF($A32="","",SUMIFS(Schedule!$P:$P,Schedule!$Q:$Q,$B$2,Schedule!$D:$D,$A32,Schedule!$E:$E,$B32))</f>
        <v/>
      </c>
    </row>
    <row r="33">
      <c r="A33" t="inlineStr">
        <is>
          <t>Lammy Queen</t>
        </is>
      </c>
      <c r="B33" t="n">
        <v>2</v>
      </c>
      <c r="J33">
        <f>IF($A33="","",SUMIFS(Schedule!$P:$P,Schedule!$Q:$Q,$B$2,Schedule!$D:$D,$A33,Schedule!$E:$E,$B33))</f>
        <v/>
      </c>
    </row>
    <row r="34">
      <c r="A34" t="inlineStr">
        <is>
          <t>Lolly</t>
        </is>
      </c>
      <c r="B34" t="n">
        <v>1</v>
      </c>
      <c r="J34">
        <f>IF($A34="","",SUMIFS(Schedule!$P:$P,Schedule!$Q:$Q,$B$2,Schedule!$D:$D,$A34,Schedule!$E:$E,$B34))</f>
        <v/>
      </c>
    </row>
    <row r="35">
      <c r="A35" t="inlineStr">
        <is>
          <t>Mukkbo</t>
        </is>
      </c>
      <c r="B35" t="n">
        <v>1</v>
      </c>
      <c r="J35">
        <f>IF($A35="","",SUMIFS(Schedule!$P:$P,Schedule!$Q:$Q,$B$2,Schedule!$D:$D,$A35,Schedule!$E:$E,$B35))</f>
        <v/>
      </c>
    </row>
    <row r="36">
      <c r="A36" t="inlineStr">
        <is>
          <t>Mukkbo</t>
        </is>
      </c>
      <c r="B36" t="n">
        <v>2</v>
      </c>
      <c r="J36">
        <f>IF($A36="","",SUMIFS(Schedule!$P:$P,Schedule!$Q:$Q,$B$2,Schedule!$D:$D,$A36,Schedule!$E:$E,$B36))</f>
        <v/>
      </c>
    </row>
    <row r="37">
      <c r="A37" t="inlineStr">
        <is>
          <t>Munjin</t>
        </is>
      </c>
      <c r="B37" t="n">
        <v>1</v>
      </c>
      <c r="J37">
        <f>IF($A37="","",SUMIFS(Schedule!$P:$P,Schedule!$Q:$Q,$B$2,Schedule!$D:$D,$A37,Schedule!$E:$E,$B37))</f>
        <v/>
      </c>
    </row>
    <row r="38">
      <c r="A38" t="inlineStr">
        <is>
          <t>Neburegi</t>
        </is>
      </c>
      <c r="B38" t="n">
        <v>1</v>
      </c>
      <c r="J38">
        <f>IF($A38="","",SUMIFS(Schedule!$P:$P,Schedule!$Q:$Q,$B$2,Schedule!$D:$D,$A38,Schedule!$E:$E,$B38))</f>
        <v/>
      </c>
    </row>
    <row r="39">
      <c r="A39" t="inlineStr">
        <is>
          <t>Olleh</t>
        </is>
      </c>
      <c r="B39" t="n">
        <v>1</v>
      </c>
      <c r="J39">
        <f>IF($A39="","",SUMIFS(Schedule!$P:$P,Schedule!$Q:$Q,$B$2,Schedule!$D:$D,$A39,Schedule!$E:$E,$B39))</f>
        <v/>
      </c>
    </row>
    <row r="40">
      <c r="A40" t="inlineStr">
        <is>
          <t>Olleh</t>
        </is>
      </c>
      <c r="B40" t="n">
        <v>2</v>
      </c>
      <c r="J40">
        <f>IF($A40="","",SUMIFS(Schedule!$P:$P,Schedule!$Q:$Q,$B$2,Schedule!$D:$D,$A40,Schedule!$E:$E,$B40))</f>
        <v/>
      </c>
    </row>
    <row r="41">
      <c r="A41" t="inlineStr">
        <is>
          <t>Perez</t>
        </is>
      </c>
      <c r="B41" t="n">
        <v>1</v>
      </c>
      <c r="J41">
        <f>IF($A41="","",SUMIFS(Schedule!$P:$P,Schedule!$Q:$Q,$B$2,Schedule!$D:$D,$A41,Schedule!$E:$E,$B41))</f>
        <v/>
      </c>
    </row>
    <row r="42">
      <c r="A42" t="inlineStr">
        <is>
          <t>Perez</t>
        </is>
      </c>
      <c r="B42" t="n">
        <v>2</v>
      </c>
      <c r="J42">
        <f>IF($A42="","",SUMIFS(Schedule!$P:$P,Schedule!$Q:$Q,$B$2,Schedule!$D:$D,$A42,Schedule!$E:$E,$B42))</f>
        <v/>
      </c>
    </row>
    <row r="43">
      <c r="A43" t="inlineStr">
        <is>
          <t>Perez</t>
        </is>
      </c>
      <c r="B43" t="n">
        <v>3</v>
      </c>
      <c r="J43">
        <f>IF($A43="","",SUMIFS(Schedule!$P:$P,Schedule!$Q:$Q,$B$2,Schedule!$D:$D,$A43,Schedule!$E:$E,$B43))</f>
        <v/>
      </c>
    </row>
    <row r="44">
      <c r="A44" t="inlineStr">
        <is>
          <t>Power20</t>
        </is>
      </c>
      <c r="B44" t="n">
        <v>1</v>
      </c>
      <c r="J44">
        <f>IF($A44="","",SUMIFS(Schedule!$P:$P,Schedule!$Q:$Q,$B$2,Schedule!$D:$D,$A44,Schedule!$E:$E,$B44))</f>
        <v/>
      </c>
    </row>
    <row r="45">
      <c r="A45" t="inlineStr">
        <is>
          <t>Power20</t>
        </is>
      </c>
      <c r="B45" t="n">
        <v>2</v>
      </c>
      <c r="J45">
        <f>IF($A45="","",SUMIFS(Schedule!$P:$P,Schedule!$Q:$Q,$B$2,Schedule!$D:$D,$A45,Schedule!$E:$E,$B45))</f>
        <v/>
      </c>
    </row>
    <row r="46">
      <c r="A46" t="inlineStr">
        <is>
          <t>Power20</t>
        </is>
      </c>
      <c r="B46" t="n">
        <v>3</v>
      </c>
      <c r="J46">
        <f>IF($A46="","",SUMIFS(Schedule!$P:$P,Schedule!$Q:$Q,$B$2,Schedule!$D:$D,$A46,Schedule!$E:$E,$B46))</f>
        <v/>
      </c>
    </row>
    <row r="47">
      <c r="A47" t="inlineStr">
        <is>
          <t>Real Madrid</t>
        </is>
      </c>
      <c r="B47" t="n">
        <v>1</v>
      </c>
      <c r="J47">
        <f>IF($A47="","",SUMIFS(Schedule!$P:$P,Schedule!$Q:$Q,$B$2,Schedule!$D:$D,$A47,Schedule!$E:$E,$B47))</f>
        <v/>
      </c>
    </row>
    <row r="48">
      <c r="A48" t="inlineStr">
        <is>
          <t>Real Madrid</t>
        </is>
      </c>
      <c r="B48" t="n">
        <v>2</v>
      </c>
      <c r="J48">
        <f>IF($A48="","",SUMIFS(Schedule!$P:$P,Schedule!$Q:$Q,$B$2,Schedule!$D:$D,$A48,Schedule!$E:$E,$B48))</f>
        <v/>
      </c>
    </row>
    <row r="49">
      <c r="A49" t="inlineStr">
        <is>
          <t>Real Madrid</t>
        </is>
      </c>
      <c r="B49" t="n">
        <v>3</v>
      </c>
      <c r="J49">
        <f>IF($A49="","",SUMIFS(Schedule!$P:$P,Schedule!$Q:$Q,$B$2,Schedule!$D:$D,$A49,Schedule!$E:$E,$B49))</f>
        <v/>
      </c>
    </row>
    <row r="50">
      <c r="A50" t="inlineStr">
        <is>
          <t>Return</t>
        </is>
      </c>
      <c r="B50" t="n">
        <v>1</v>
      </c>
      <c r="J50">
        <f>IF($A50="","",SUMIFS(Schedule!$P:$P,Schedule!$Q:$Q,$B$2,Schedule!$D:$D,$A50,Schedule!$E:$E,$B50))</f>
        <v/>
      </c>
    </row>
    <row r="51">
      <c r="A51" t="inlineStr">
        <is>
          <t>Road</t>
        </is>
      </c>
      <c r="B51" t="n">
        <v>1</v>
      </c>
      <c r="J51">
        <f>IF($A51="","",SUMIFS(Schedule!$P:$P,Schedule!$Q:$Q,$B$2,Schedule!$D:$D,$A51,Schedule!$E:$E,$B51))</f>
        <v/>
      </c>
    </row>
    <row r="52">
      <c r="A52" t="inlineStr">
        <is>
          <t>SSEN</t>
        </is>
      </c>
      <c r="B52" t="n">
        <v>1</v>
      </c>
      <c r="J52">
        <f>IF($A52="","",SUMIFS(Schedule!$P:$P,Schedule!$Q:$Q,$B$2,Schedule!$D:$D,$A52,Schedule!$E:$E,$B52))</f>
        <v/>
      </c>
    </row>
    <row r="53">
      <c r="A53" t="inlineStr">
        <is>
          <t>Tiger</t>
        </is>
      </c>
      <c r="B53" t="n">
        <v>1</v>
      </c>
      <c r="J53">
        <f>IF($A53="","",SUMIFS(Schedule!$P:$P,Schedule!$Q:$Q,$B$2,Schedule!$D:$D,$A53,Schedule!$E:$E,$B53))</f>
        <v/>
      </c>
    </row>
    <row r="54">
      <c r="A54" t="inlineStr">
        <is>
          <t>Tiger</t>
        </is>
      </c>
      <c r="B54" t="n">
        <v>2</v>
      </c>
      <c r="J54">
        <f>IF($A54="","",SUMIFS(Schedule!$P:$P,Schedule!$Q:$Q,$B$2,Schedule!$D:$D,$A54,Schedule!$E:$E,$B54))</f>
        <v/>
      </c>
    </row>
    <row r="55">
      <c r="A55" t="inlineStr">
        <is>
          <t>Yeoseo</t>
        </is>
      </c>
      <c r="B55" t="n">
        <v>1</v>
      </c>
      <c r="J55">
        <f>IF($A55="","",SUMIFS(Schedule!$P:$P,Schedule!$Q:$Q,$B$2,Schedule!$D:$D,$A55,Schedule!$E:$E,$B55))</f>
        <v/>
      </c>
    </row>
    <row r="56">
      <c r="A56" t="inlineStr">
        <is>
          <t>Zombie</t>
        </is>
      </c>
      <c r="B56" t="n">
        <v>1</v>
      </c>
      <c r="J56">
        <f>IF($A56="","",SUMIFS(Schedule!$P:$P,Schedule!$Q:$Q,$B$2,Schedule!$D:$D,$A56,Schedule!$E:$E,$B56))</f>
        <v/>
      </c>
    </row>
    <row r="57">
      <c r="A57" t="inlineStr">
        <is>
          <t>Zombie</t>
        </is>
      </c>
      <c r="B57" t="n">
        <v>2</v>
      </c>
      <c r="J57">
        <f>IF($A57="","",SUMIFS(Schedule!$P:$P,Schedule!$Q:$Q,$B$2,Schedule!$D:$D,$A57,Schedule!$E:$E,$B57))</f>
        <v/>
      </c>
    </row>
    <row r="58">
      <c r="A58" t="inlineStr">
        <is>
          <t>Zombie</t>
        </is>
      </c>
      <c r="B58" t="n">
        <v>3</v>
      </c>
      <c r="J58">
        <f>IF($A58="","",SUMIFS(Schedule!$P:$P,Schedule!$Q:$Q,$B$2,Schedule!$D:$D,$A58,Schedule!$E:$E,$B58))</f>
        <v/>
      </c>
    </row>
    <row r="59">
      <c r="J59">
        <f>IF($A59="","",SUMIFS(Schedule!$P:$P,Schedule!$Q:$Q,$B$2,Schedule!$D:$D,$A59,Schedule!$E:$E,$B59))</f>
        <v/>
      </c>
    </row>
    <row r="60">
      <c r="J60">
        <f>IF($A60="","",SUMIFS(Schedule!$P:$P,Schedule!$Q:$Q,$B$2,Schedule!$D:$D,$A60,Schedule!$E:$E,$B60))</f>
        <v/>
      </c>
    </row>
    <row r="61">
      <c r="J61">
        <f>IF($A61="","",SUMIFS(Schedule!$P:$P,Schedule!$Q:$Q,$B$2,Schedule!$D:$D,$A61,Schedule!$E:$E,$B61))</f>
        <v/>
      </c>
    </row>
    <row r="62">
      <c r="J62">
        <f>IF($A62="","",SUMIFS(Schedule!$P:$P,Schedule!$Q:$Q,$B$2,Schedule!$D:$D,$A62,Schedule!$E:$E,$B62))</f>
        <v/>
      </c>
    </row>
    <row r="63">
      <c r="J63">
        <f>IF($A63="","",SUMIFS(Schedule!$P:$P,Schedule!$Q:$Q,$B$2,Schedule!$D:$D,$A63,Schedule!$E:$E,$B63))</f>
        <v/>
      </c>
    </row>
    <row r="64">
      <c r="J64">
        <f>IF($A64="","",SUMIFS(Schedule!$P:$P,Schedule!$Q:$Q,$B$2,Schedule!$D:$D,$A64,Schedule!$E:$E,$B64))</f>
        <v/>
      </c>
    </row>
    <row r="65">
      <c r="J65">
        <f>IF($A65="","",SUMIFS(Schedule!$P:$P,Schedule!$Q:$Q,$B$2,Schedule!$D:$D,$A65,Schedule!$E:$E,$B65))</f>
        <v/>
      </c>
    </row>
    <row r="66">
      <c r="J66">
        <f>IF($A66="","",SUMIFS(Schedule!$P:$P,Schedule!$Q:$Q,$B$2,Schedule!$D:$D,$A66,Schedule!$E:$E,$B66))</f>
        <v/>
      </c>
    </row>
    <row r="67">
      <c r="J67">
        <f>IF($A67="","",SUMIFS(Schedule!$P:$P,Schedule!$Q:$Q,$B$2,Schedule!$D:$D,$A67,Schedule!$E:$E,$B67))</f>
        <v/>
      </c>
    </row>
    <row r="68">
      <c r="J68">
        <f>IF($A68="","",SUMIFS(Schedule!$P:$P,Schedule!$Q:$Q,$B$2,Schedule!$D:$D,$A68,Schedule!$E:$E,$B68))</f>
        <v/>
      </c>
    </row>
    <row r="69">
      <c r="J69">
        <f>IF($A69="","",SUMIFS(Schedule!$P:$P,Schedule!$Q:$Q,$B$2,Schedule!$D:$D,$A69,Schedule!$E:$E,$B69))</f>
        <v/>
      </c>
    </row>
    <row r="70">
      <c r="J70">
        <f>IF($A70="","",SUMIFS(Schedule!$P:$P,Schedule!$Q:$Q,$B$2,Schedule!$D:$D,$A70,Schedule!$E:$E,$B70))</f>
        <v/>
      </c>
    </row>
    <row r="71">
      <c r="J71">
        <f>IF($A71="","",SUMIFS(Schedule!$P:$P,Schedule!$Q:$Q,$B$2,Schedule!$D:$D,$A71,Schedule!$E:$E,$B71))</f>
        <v/>
      </c>
    </row>
    <row r="72">
      <c r="J72">
        <f>IF($A72="","",SUMIFS(Schedule!$P:$P,Schedule!$Q:$Q,$B$2,Schedule!$D:$D,$A72,Schedule!$E:$E,$B72))</f>
        <v/>
      </c>
    </row>
    <row r="73">
      <c r="J73">
        <f>IF($A73="","",SUMIFS(Schedule!$P:$P,Schedule!$Q:$Q,$B$2,Schedule!$D:$D,$A73,Schedule!$E:$E,$B73))</f>
        <v/>
      </c>
    </row>
    <row r="74">
      <c r="J74">
        <f>IF($A74="","",SUMIFS(Schedule!$P:$P,Schedule!$Q:$Q,$B$2,Schedule!$D:$D,$A74,Schedule!$E:$E,$B74))</f>
        <v/>
      </c>
    </row>
    <row r="75">
      <c r="J75">
        <f>IF($A75="","",SUMIFS(Schedule!$P:$P,Schedule!$Q:$Q,$B$2,Schedule!$D:$D,$A75,Schedule!$E:$E,$B75))</f>
        <v/>
      </c>
    </row>
    <row r="76">
      <c r="J76">
        <f>IF($A76="","",SUMIFS(Schedule!$P:$P,Schedule!$Q:$Q,$B$2,Schedule!$D:$D,$A76,Schedule!$E:$E,$B76))</f>
        <v/>
      </c>
    </row>
    <row r="77">
      <c r="J77">
        <f>IF($A77="","",SUMIFS(Schedule!$P:$P,Schedule!$Q:$Q,$B$2,Schedule!$D:$D,$A77,Schedule!$E:$E,$B77))</f>
        <v/>
      </c>
    </row>
    <row r="78">
      <c r="J78">
        <f>IF($A78="","",SUMIFS(Schedule!$P:$P,Schedule!$Q:$Q,$B$2,Schedule!$D:$D,$A78,Schedule!$E:$E,$B78))</f>
        <v/>
      </c>
    </row>
    <row r="79">
      <c r="J79">
        <f>IF($A79="","",SUMIFS(Schedule!$P:$P,Schedule!$Q:$Q,$B$2,Schedule!$D:$D,$A79,Schedule!$E:$E,$B79))</f>
        <v/>
      </c>
    </row>
    <row r="80">
      <c r="J80">
        <f>IF($A80="","",SUMIFS(Schedule!$P:$P,Schedule!$Q:$Q,$B$2,Schedule!$D:$D,$A80,Schedule!$E:$E,$B80))</f>
        <v/>
      </c>
    </row>
    <row r="81">
      <c r="J81">
        <f>IF($A81="","",SUMIFS(Schedule!$P:$P,Schedule!$Q:$Q,$B$2,Schedule!$D:$D,$A81,Schedule!$E:$E,$B81))</f>
        <v/>
      </c>
    </row>
    <row r="82">
      <c r="J82">
        <f>IF($A82="","",SUMIFS(Schedule!$P:$P,Schedule!$Q:$Q,$B$2,Schedule!$D:$D,$A82,Schedule!$E:$E,$B82))</f>
        <v/>
      </c>
    </row>
    <row r="83">
      <c r="J83">
        <f>IF($A83="","",SUMIFS(Schedule!$P:$P,Schedule!$Q:$Q,$B$2,Schedule!$D:$D,$A83,Schedule!$E:$E,$B83))</f>
        <v/>
      </c>
    </row>
    <row r="84">
      <c r="J84">
        <f>IF($A84="","",SUMIFS(Schedule!$P:$P,Schedule!$Q:$Q,$B$2,Schedule!$D:$D,$A84,Schedule!$E:$E,$B84))</f>
        <v/>
      </c>
    </row>
    <row r="85">
      <c r="J85">
        <f>IF($A85="","",SUMIFS(Schedule!$P:$P,Schedule!$Q:$Q,$B$2,Schedule!$D:$D,$A85,Schedule!$E:$E,$B85))</f>
        <v/>
      </c>
    </row>
    <row r="86">
      <c r="J86">
        <f>IF($A86="","",SUMIFS(Schedule!$P:$P,Schedule!$Q:$Q,$B$2,Schedule!$D:$D,$A86,Schedule!$E:$E,$B86))</f>
        <v/>
      </c>
    </row>
    <row r="87">
      <c r="J87">
        <f>IF($A87="","",SUMIFS(Schedule!$P:$P,Schedule!$Q:$Q,$B$2,Schedule!$D:$D,$A87,Schedule!$E:$E,$B87))</f>
        <v/>
      </c>
    </row>
    <row r="88">
      <c r="J88">
        <f>IF($A88="","",SUMIFS(Schedule!$P:$P,Schedule!$Q:$Q,$B$2,Schedule!$D:$D,$A88,Schedule!$E:$E,$B88))</f>
        <v/>
      </c>
    </row>
    <row r="89">
      <c r="J89">
        <f>IF($A89="","",SUMIFS(Schedule!$P:$P,Schedule!$Q:$Q,$B$2,Schedule!$D:$D,$A89,Schedule!$E:$E,$B89))</f>
        <v/>
      </c>
    </row>
    <row r="90">
      <c r="J90">
        <f>IF($A90="","",SUMIFS(Schedule!$P:$P,Schedule!$Q:$Q,$B$2,Schedule!$D:$D,$A90,Schedule!$E:$E,$B90))</f>
        <v/>
      </c>
    </row>
    <row r="91">
      <c r="J91">
        <f>IF($A91="","",SUMIFS(Schedule!$P:$P,Schedule!$Q:$Q,$B$2,Schedule!$D:$D,$A91,Schedule!$E:$E,$B91))</f>
        <v/>
      </c>
    </row>
    <row r="92">
      <c r="J92">
        <f>IF($A92="","",SUMIFS(Schedule!$P:$P,Schedule!$Q:$Q,$B$2,Schedule!$D:$D,$A92,Schedule!$E:$E,$B92))</f>
        <v/>
      </c>
    </row>
    <row r="93">
      <c r="J93">
        <f>IF($A93="","",SUMIFS(Schedule!$P:$P,Schedule!$Q:$Q,$B$2,Schedule!$D:$D,$A93,Schedule!$E:$E,$B93))</f>
        <v/>
      </c>
    </row>
    <row r="94">
      <c r="J94">
        <f>IF($A94="","",SUMIFS(Schedule!$P:$P,Schedule!$Q:$Q,$B$2,Schedule!$D:$D,$A94,Schedule!$E:$E,$B94))</f>
        <v/>
      </c>
    </row>
    <row r="95">
      <c r="J95">
        <f>IF($A95="","",SUMIFS(Schedule!$P:$P,Schedule!$Q:$Q,$B$2,Schedule!$D:$D,$A95,Schedule!$E:$E,$B95))</f>
        <v/>
      </c>
    </row>
    <row r="96">
      <c r="J96">
        <f>IF($A96="","",SUMIFS(Schedule!$P:$P,Schedule!$Q:$Q,$B$2,Schedule!$D:$D,$A96,Schedule!$E:$E,$B96))</f>
        <v/>
      </c>
    </row>
    <row r="97">
      <c r="J97">
        <f>IF($A97="","",SUMIFS(Schedule!$P:$P,Schedule!$Q:$Q,$B$2,Schedule!$D:$D,$A97,Schedule!$E:$E,$B97))</f>
        <v/>
      </c>
    </row>
    <row r="98">
      <c r="J98">
        <f>IF($A98="","",SUMIFS(Schedule!$P:$P,Schedule!$Q:$Q,$B$2,Schedule!$D:$D,$A98,Schedule!$E:$E,$B98))</f>
        <v/>
      </c>
    </row>
    <row r="99">
      <c r="J99">
        <f>IF($A99="","",SUMIFS(Schedule!$P:$P,Schedule!$Q:$Q,$B$2,Schedule!$D:$D,$A99,Schedule!$E:$E,$B99))</f>
        <v/>
      </c>
    </row>
    <row r="100">
      <c r="J100">
        <f>IF($A100="","",SUMIFS(Schedule!$P:$P,Schedule!$Q:$Q,$B$2,Schedule!$D:$D,$A100,Schedule!$E:$E,$B100))</f>
        <v/>
      </c>
    </row>
    <row r="101">
      <c r="J101">
        <f>IF($A101="","",SUMIFS(Schedule!$P:$P,Schedule!$Q:$Q,$B$2,Schedule!$D:$D,$A101,Schedule!$E:$E,$B101))</f>
        <v/>
      </c>
    </row>
    <row r="102">
      <c r="J102">
        <f>IF($A102="","",SUMIFS(Schedule!$P:$P,Schedule!$Q:$Q,$B$2,Schedule!$D:$D,$A102,Schedule!$E:$E,$B102))</f>
        <v/>
      </c>
    </row>
    <row r="103">
      <c r="J103">
        <f>IF($A103="","",SUMIFS(Schedule!$P:$P,Schedule!$Q:$Q,$B$2,Schedule!$D:$D,$A103,Schedule!$E:$E,$B103))</f>
        <v/>
      </c>
    </row>
    <row r="104">
      <c r="J104">
        <f>IF($A104="","",SUMIFS(Schedule!$P:$P,Schedule!$Q:$Q,$B$2,Schedule!$D:$D,$A104,Schedule!$E:$E,$B104))</f>
        <v/>
      </c>
    </row>
    <row r="105">
      <c r="J105">
        <f>IF($A105="","",SUMIFS(Schedule!$P:$P,Schedule!$Q:$Q,$B$2,Schedule!$D:$D,$A105,Schedule!$E:$E,$B105))</f>
        <v/>
      </c>
    </row>
    <row r="106">
      <c r="J106">
        <f>IF($A106="","",SUMIFS(Schedule!$P:$P,Schedule!$Q:$Q,$B$2,Schedule!$D:$D,$A106,Schedule!$E:$E,$B106))</f>
        <v/>
      </c>
    </row>
    <row r="107">
      <c r="J107">
        <f>IF($A107="","",SUMIFS(Schedule!$P:$P,Schedule!$Q:$Q,$B$2,Schedule!$D:$D,$A107,Schedule!$E:$E,$B107))</f>
        <v/>
      </c>
    </row>
    <row r="108">
      <c r="J108">
        <f>IF($A108="","",SUMIFS(Schedule!$P:$P,Schedule!$Q:$Q,$B$2,Schedule!$D:$D,$A108,Schedule!$E:$E,$B108))</f>
        <v/>
      </c>
    </row>
    <row r="109">
      <c r="J109">
        <f>IF($A109="","",SUMIFS(Schedule!$P:$P,Schedule!$Q:$Q,$B$2,Schedule!$D:$D,$A109,Schedule!$E:$E,$B109))</f>
        <v/>
      </c>
    </row>
    <row r="110">
      <c r="J110">
        <f>IF($A110="","",SUMIFS(Schedule!$P:$P,Schedule!$Q:$Q,$B$2,Schedule!$D:$D,$A110,Schedule!$E:$E,$B110))</f>
        <v/>
      </c>
    </row>
    <row r="111">
      <c r="J111">
        <f>IF($A111="","",SUMIFS(Schedule!$P:$P,Schedule!$Q:$Q,$B$2,Schedule!$D:$D,$A111,Schedule!$E:$E,$B111))</f>
        <v/>
      </c>
    </row>
    <row r="112">
      <c r="J112">
        <f>IF($A112="","",SUMIFS(Schedule!$P:$P,Schedule!$Q:$Q,$B$2,Schedule!$D:$D,$A112,Schedule!$E:$E,$B112))</f>
        <v/>
      </c>
    </row>
    <row r="113">
      <c r="J113">
        <f>IF($A113="","",SUMIFS(Schedule!$P:$P,Schedule!$Q:$Q,$B$2,Schedule!$D:$D,$A113,Schedule!$E:$E,$B113))</f>
        <v/>
      </c>
    </row>
    <row r="114">
      <c r="J114">
        <f>IF($A114="","",SUMIFS(Schedule!$P:$P,Schedule!$Q:$Q,$B$2,Schedule!$D:$D,$A114,Schedule!$E:$E,$B114))</f>
        <v/>
      </c>
    </row>
    <row r="115">
      <c r="J115">
        <f>IF($A115="","",SUMIFS(Schedule!$P:$P,Schedule!$Q:$Q,$B$2,Schedule!$D:$D,$A115,Schedule!$E:$E,$B115))</f>
        <v/>
      </c>
    </row>
    <row r="116">
      <c r="J116">
        <f>IF($A116="","",SUMIFS(Schedule!$P:$P,Schedule!$Q:$Q,$B$2,Schedule!$D:$D,$A116,Schedule!$E:$E,$B116))</f>
        <v/>
      </c>
    </row>
    <row r="117">
      <c r="J117">
        <f>IF($A117="","",SUMIFS(Schedule!$P:$P,Schedule!$Q:$Q,$B$2,Schedule!$D:$D,$A117,Schedule!$E:$E,$B117))</f>
        <v/>
      </c>
    </row>
    <row r="118">
      <c r="J118">
        <f>IF($A118="","",SUMIFS(Schedule!$P:$P,Schedule!$Q:$Q,$B$2,Schedule!$D:$D,$A118,Schedule!$E:$E,$B118))</f>
        <v/>
      </c>
    </row>
    <row r="119">
      <c r="J119">
        <f>IF($A119="","",SUMIFS(Schedule!$P:$P,Schedule!$Q:$Q,$B$2,Schedule!$D:$D,$A119,Schedule!$E:$E,$B119))</f>
        <v/>
      </c>
    </row>
    <row r="120">
      <c r="J120">
        <f>IF($A120="","",SUMIFS(Schedule!$P:$P,Schedule!$Q:$Q,$B$2,Schedule!$D:$D,$A120,Schedule!$E:$E,$B120))</f>
        <v/>
      </c>
    </row>
    <row r="121">
      <c r="J121">
        <f>IF($A121="","",SUMIFS(Schedule!$P:$P,Schedule!$Q:$Q,$B$2,Schedule!$D:$D,$A121,Schedule!$E:$E,$B121))</f>
        <v/>
      </c>
    </row>
    <row r="122">
      <c r="J122">
        <f>IF($A122="","",SUMIFS(Schedule!$P:$P,Schedule!$Q:$Q,$B$2,Schedule!$D:$D,$A122,Schedule!$E:$E,$B122))</f>
        <v/>
      </c>
    </row>
    <row r="123">
      <c r="J123">
        <f>IF($A123="","",SUMIFS(Schedule!$P:$P,Schedule!$Q:$Q,$B$2,Schedule!$D:$D,$A123,Schedule!$E:$E,$B123))</f>
        <v/>
      </c>
    </row>
    <row r="124">
      <c r="J124">
        <f>IF($A124="","",SUMIFS(Schedule!$P:$P,Schedule!$Q:$Q,$B$2,Schedule!$D:$D,$A124,Schedule!$E:$E,$B124))</f>
        <v/>
      </c>
    </row>
    <row r="125">
      <c r="J125">
        <f>IF($A125="","",SUMIFS(Schedule!$P:$P,Schedule!$Q:$Q,$B$2,Schedule!$D:$D,$A125,Schedule!$E:$E,$B125))</f>
        <v/>
      </c>
    </row>
    <row r="126">
      <c r="J126">
        <f>IF($A126="","",SUMIFS(Schedule!$P:$P,Schedule!$Q:$Q,$B$2,Schedule!$D:$D,$A126,Schedule!$E:$E,$B126))</f>
        <v/>
      </c>
    </row>
    <row r="127">
      <c r="J127">
        <f>IF($A127="","",SUMIFS(Schedule!$P:$P,Schedule!$Q:$Q,$B$2,Schedule!$D:$D,$A127,Schedule!$E:$E,$B127))</f>
        <v/>
      </c>
    </row>
    <row r="128">
      <c r="J128">
        <f>IF($A128="","",SUMIFS(Schedule!$P:$P,Schedule!$Q:$Q,$B$2,Schedule!$D:$D,$A128,Schedule!$E:$E,$B128))</f>
        <v/>
      </c>
    </row>
    <row r="129">
      <c r="J129">
        <f>IF($A129="","",SUMIFS(Schedule!$P:$P,Schedule!$Q:$Q,$B$2,Schedule!$D:$D,$A129,Schedule!$E:$E,$B129))</f>
        <v/>
      </c>
    </row>
    <row r="130">
      <c r="J130">
        <f>IF($A130="","",SUMIFS(Schedule!$P:$P,Schedule!$Q:$Q,$B$2,Schedule!$D:$D,$A130,Schedule!$E:$E,$B130))</f>
        <v/>
      </c>
    </row>
    <row r="131">
      <c r="J131">
        <f>IF($A131="","",SUMIFS(Schedule!$P:$P,Schedule!$Q:$Q,$B$2,Schedule!$D:$D,$A131,Schedule!$E:$E,$B131))</f>
        <v/>
      </c>
    </row>
    <row r="132">
      <c r="J132">
        <f>IF($A132="","",SUMIFS(Schedule!$P:$P,Schedule!$Q:$Q,$B$2,Schedule!$D:$D,$A132,Schedule!$E:$E,$B132))</f>
        <v/>
      </c>
    </row>
    <row r="133">
      <c r="J133">
        <f>IF($A133="","",SUMIFS(Schedule!$P:$P,Schedule!$Q:$Q,$B$2,Schedule!$D:$D,$A133,Schedule!$E:$E,$B133))</f>
        <v/>
      </c>
    </row>
    <row r="134">
      <c r="J134">
        <f>IF($A134="","",SUMIFS(Schedule!$P:$P,Schedule!$Q:$Q,$B$2,Schedule!$D:$D,$A134,Schedule!$E:$E,$B134))</f>
        <v/>
      </c>
    </row>
    <row r="135">
      <c r="J135">
        <f>IF($A135="","",SUMIFS(Schedule!$P:$P,Schedule!$Q:$Q,$B$2,Schedule!$D:$D,$A135,Schedule!$E:$E,$B135))</f>
        <v/>
      </c>
    </row>
    <row r="136">
      <c r="J136">
        <f>IF($A136="","",SUMIFS(Schedule!$P:$P,Schedule!$Q:$Q,$B$2,Schedule!$D:$D,$A136,Schedule!$E:$E,$B136))</f>
        <v/>
      </c>
    </row>
    <row r="137">
      <c r="J137">
        <f>IF($A137="","",SUMIFS(Schedule!$P:$P,Schedule!$Q:$Q,$B$2,Schedule!$D:$D,$A137,Schedule!$E:$E,$B137))</f>
        <v/>
      </c>
    </row>
    <row r="138">
      <c r="J138">
        <f>IF($A138="","",SUMIFS(Schedule!$P:$P,Schedule!$Q:$Q,$B$2,Schedule!$D:$D,$A138,Schedule!$E:$E,$B138))</f>
        <v/>
      </c>
    </row>
    <row r="139">
      <c r="J139">
        <f>IF($A139="","",SUMIFS(Schedule!$P:$P,Schedule!$Q:$Q,$B$2,Schedule!$D:$D,$A139,Schedule!$E:$E,$B139))</f>
        <v/>
      </c>
    </row>
    <row r="140">
      <c r="J140">
        <f>IF($A140="","",SUMIFS(Schedule!$P:$P,Schedule!$Q:$Q,$B$2,Schedule!$D:$D,$A140,Schedule!$E:$E,$B140))</f>
        <v/>
      </c>
    </row>
    <row r="141">
      <c r="J141">
        <f>IF($A141="","",SUMIFS(Schedule!$P:$P,Schedule!$Q:$Q,$B$2,Schedule!$D:$D,$A141,Schedule!$E:$E,$B141))</f>
        <v/>
      </c>
    </row>
    <row r="142">
      <c r="J142">
        <f>IF($A142="","",SUMIFS(Schedule!$P:$P,Schedule!$Q:$Q,$B$2,Schedule!$D:$D,$A142,Schedule!$E:$E,$B142))</f>
        <v/>
      </c>
    </row>
    <row r="143">
      <c r="J143">
        <f>IF($A143="","",SUMIFS(Schedule!$P:$P,Schedule!$Q:$Q,$B$2,Schedule!$D:$D,$A143,Schedule!$E:$E,$B143))</f>
        <v/>
      </c>
    </row>
    <row r="144">
      <c r="J144">
        <f>IF($A144="","",SUMIFS(Schedule!$P:$P,Schedule!$Q:$Q,$B$2,Schedule!$D:$D,$A144,Schedule!$E:$E,$B144))</f>
        <v/>
      </c>
    </row>
    <row r="145">
      <c r="J145">
        <f>IF($A145="","",SUMIFS(Schedule!$P:$P,Schedule!$Q:$Q,$B$2,Schedule!$D:$D,$A145,Schedule!$E:$E,$B145))</f>
        <v/>
      </c>
    </row>
    <row r="146">
      <c r="J146">
        <f>IF($A146="","",SUMIFS(Schedule!$P:$P,Schedule!$Q:$Q,$B$2,Schedule!$D:$D,$A146,Schedule!$E:$E,$B146))</f>
        <v/>
      </c>
    </row>
    <row r="147">
      <c r="J147">
        <f>IF($A147="","",SUMIFS(Schedule!$P:$P,Schedule!$Q:$Q,$B$2,Schedule!$D:$D,$A147,Schedule!$E:$E,$B147))</f>
        <v/>
      </c>
    </row>
    <row r="148">
      <c r="J148">
        <f>IF($A148="","",SUMIFS(Schedule!$P:$P,Schedule!$Q:$Q,$B$2,Schedule!$D:$D,$A148,Schedule!$E:$E,$B148))</f>
        <v/>
      </c>
    </row>
    <row r="149">
      <c r="J149">
        <f>IF($A149="","",SUMIFS(Schedule!$P:$P,Schedule!$Q:$Q,$B$2,Schedule!$D:$D,$A149,Schedule!$E:$E,$B149))</f>
        <v/>
      </c>
    </row>
    <row r="150">
      <c r="J150">
        <f>IF($A150="","",SUMIFS(Schedule!$P:$P,Schedule!$Q:$Q,$B$2,Schedule!$D:$D,$A150,Schedule!$E:$E,$B150))</f>
        <v/>
      </c>
    </row>
    <row r="151">
      <c r="J151">
        <f>IF($A151="","",SUMIFS(Schedule!$P:$P,Schedule!$Q:$Q,$B$2,Schedule!$D:$D,$A151,Schedule!$E:$E,$B151))</f>
        <v/>
      </c>
    </row>
    <row r="152">
      <c r="J152">
        <f>IF($A152="","",SUMIFS(Schedule!$P:$P,Schedule!$Q:$Q,$B$2,Schedule!$D:$D,$A152,Schedule!$E:$E,$B152))</f>
        <v/>
      </c>
    </row>
    <row r="153">
      <c r="J153">
        <f>IF($A153="","",SUMIFS(Schedule!$P:$P,Schedule!$Q:$Q,$B$2,Schedule!$D:$D,$A153,Schedule!$E:$E,$B153))</f>
        <v/>
      </c>
    </row>
    <row r="154">
      <c r="J154">
        <f>IF($A154="","",SUMIFS(Schedule!$P:$P,Schedule!$Q:$Q,$B$2,Schedule!$D:$D,$A154,Schedule!$E:$E,$B154))</f>
        <v/>
      </c>
    </row>
    <row r="155">
      <c r="J155">
        <f>IF($A155="","",SUMIFS(Schedule!$P:$P,Schedule!$Q:$Q,$B$2,Schedule!$D:$D,$A155,Schedule!$E:$E,$B155))</f>
        <v/>
      </c>
    </row>
    <row r="156">
      <c r="J156">
        <f>IF($A156="","",SUMIFS(Schedule!$P:$P,Schedule!$Q:$Q,$B$2,Schedule!$D:$D,$A156,Schedule!$E:$E,$B156))</f>
        <v/>
      </c>
    </row>
    <row r="157">
      <c r="J157">
        <f>IF($A157="","",SUMIFS(Schedule!$P:$P,Schedule!$Q:$Q,$B$2,Schedule!$D:$D,$A157,Schedule!$E:$E,$B157))</f>
        <v/>
      </c>
    </row>
    <row r="158">
      <c r="J158">
        <f>IF($A158="","",SUMIFS(Schedule!$P:$P,Schedule!$Q:$Q,$B$2,Schedule!$D:$D,$A158,Schedule!$E:$E,$B158))</f>
        <v/>
      </c>
    </row>
    <row r="159">
      <c r="J159">
        <f>IF($A159="","",SUMIFS(Schedule!$P:$P,Schedule!$Q:$Q,$B$2,Schedule!$D:$D,$A159,Schedule!$E:$E,$B159))</f>
        <v/>
      </c>
    </row>
    <row r="160">
      <c r="J160">
        <f>IF($A160="","",SUMIFS(Schedule!$P:$P,Schedule!$Q:$Q,$B$2,Schedule!$D:$D,$A160,Schedule!$E:$E,$B160))</f>
        <v/>
      </c>
    </row>
    <row r="161">
      <c r="J161">
        <f>IF($A161="","",SUMIFS(Schedule!$P:$P,Schedule!$Q:$Q,$B$2,Schedule!$D:$D,$A161,Schedule!$E:$E,$B161))</f>
        <v/>
      </c>
    </row>
    <row r="162">
      <c r="J162">
        <f>IF($A162="","",SUMIFS(Schedule!$P:$P,Schedule!$Q:$Q,$B$2,Schedule!$D:$D,$A162,Schedule!$E:$E,$B162))</f>
        <v/>
      </c>
    </row>
    <row r="163">
      <c r="J163">
        <f>IF($A163="","",SUMIFS(Schedule!$P:$P,Schedule!$Q:$Q,$B$2,Schedule!$D:$D,$A163,Schedule!$E:$E,$B163))</f>
        <v/>
      </c>
    </row>
    <row r="164">
      <c r="J164">
        <f>IF($A164="","",SUMIFS(Schedule!$P:$P,Schedule!$Q:$Q,$B$2,Schedule!$D:$D,$A164,Schedule!$E:$E,$B164))</f>
        <v/>
      </c>
    </row>
    <row r="165">
      <c r="J165">
        <f>IF($A165="","",SUMIFS(Schedule!$P:$P,Schedule!$Q:$Q,$B$2,Schedule!$D:$D,$A165,Schedule!$E:$E,$B165))</f>
        <v/>
      </c>
    </row>
    <row r="166">
      <c r="J166">
        <f>IF($A166="","",SUMIFS(Schedule!$P:$P,Schedule!$Q:$Q,$B$2,Schedule!$D:$D,$A166,Schedule!$E:$E,$B166))</f>
        <v/>
      </c>
    </row>
    <row r="167">
      <c r="J167">
        <f>IF($A167="","",SUMIFS(Schedule!$P:$P,Schedule!$Q:$Q,$B$2,Schedule!$D:$D,$A167,Schedule!$E:$E,$B167))</f>
        <v/>
      </c>
    </row>
    <row r="168">
      <c r="J168">
        <f>IF($A168="","",SUMIFS(Schedule!$P:$P,Schedule!$Q:$Q,$B$2,Schedule!$D:$D,$A168,Schedule!$E:$E,$B168))</f>
        <v/>
      </c>
    </row>
    <row r="169">
      <c r="J169">
        <f>IF($A169="","",SUMIFS(Schedule!$P:$P,Schedule!$Q:$Q,$B$2,Schedule!$D:$D,$A169,Schedule!$E:$E,$B169))</f>
        <v/>
      </c>
    </row>
    <row r="170">
      <c r="J170">
        <f>IF($A170="","",SUMIFS(Schedule!$P:$P,Schedule!$Q:$Q,$B$2,Schedule!$D:$D,$A170,Schedule!$E:$E,$B170))</f>
        <v/>
      </c>
    </row>
    <row r="171">
      <c r="J171">
        <f>IF($A171="","",SUMIFS(Schedule!$P:$P,Schedule!$Q:$Q,$B$2,Schedule!$D:$D,$A171,Schedule!$E:$E,$B171))</f>
        <v/>
      </c>
    </row>
    <row r="172">
      <c r="J172">
        <f>IF($A172="","",SUMIFS(Schedule!$P:$P,Schedule!$Q:$Q,$B$2,Schedule!$D:$D,$A172,Schedule!$E:$E,$B172))</f>
        <v/>
      </c>
    </row>
    <row r="173">
      <c r="J173">
        <f>IF($A173="","",SUMIFS(Schedule!$P:$P,Schedule!$Q:$Q,$B$2,Schedule!$D:$D,$A173,Schedule!$E:$E,$B173))</f>
        <v/>
      </c>
    </row>
    <row r="174">
      <c r="J174">
        <f>IF($A174="","",SUMIFS(Schedule!$P:$P,Schedule!$Q:$Q,$B$2,Schedule!$D:$D,$A174,Schedule!$E:$E,$B174))</f>
        <v/>
      </c>
    </row>
    <row r="175">
      <c r="J175">
        <f>IF($A175="","",SUMIFS(Schedule!$P:$P,Schedule!$Q:$Q,$B$2,Schedule!$D:$D,$A175,Schedule!$E:$E,$B175))</f>
        <v/>
      </c>
    </row>
    <row r="176">
      <c r="J176">
        <f>IF($A176="","",SUMIFS(Schedule!$P:$P,Schedule!$Q:$Q,$B$2,Schedule!$D:$D,$A176,Schedule!$E:$E,$B176))</f>
        <v/>
      </c>
    </row>
    <row r="177">
      <c r="J177">
        <f>IF($A177="","",SUMIFS(Schedule!$P:$P,Schedule!$Q:$Q,$B$2,Schedule!$D:$D,$A177,Schedule!$E:$E,$B177))</f>
        <v/>
      </c>
    </row>
    <row r="178">
      <c r="J178">
        <f>IF($A178="","",SUMIFS(Schedule!$P:$P,Schedule!$Q:$Q,$B$2,Schedule!$D:$D,$A178,Schedule!$E:$E,$B178))</f>
        <v/>
      </c>
    </row>
    <row r="179">
      <c r="J179">
        <f>IF($A179="","",SUMIFS(Schedule!$P:$P,Schedule!$Q:$Q,$B$2,Schedule!$D:$D,$A179,Schedule!$E:$E,$B179))</f>
        <v/>
      </c>
    </row>
    <row r="180">
      <c r="J180">
        <f>IF($A180="","",SUMIFS(Schedule!$P:$P,Schedule!$Q:$Q,$B$2,Schedule!$D:$D,$A180,Schedule!$E:$E,$B180))</f>
        <v/>
      </c>
    </row>
    <row r="181">
      <c r="J181">
        <f>IF($A181="","",SUMIFS(Schedule!$P:$P,Schedule!$Q:$Q,$B$2,Schedule!$D:$D,$A181,Schedule!$E:$E,$B181))</f>
        <v/>
      </c>
    </row>
    <row r="182">
      <c r="J182">
        <f>IF($A182="","",SUMIFS(Schedule!$P:$P,Schedule!$Q:$Q,$B$2,Schedule!$D:$D,$A182,Schedule!$E:$E,$B182))</f>
        <v/>
      </c>
    </row>
    <row r="183">
      <c r="J183">
        <f>IF($A183="","",SUMIFS(Schedule!$P:$P,Schedule!$Q:$Q,$B$2,Schedule!$D:$D,$A183,Schedule!$E:$E,$B183))</f>
        <v/>
      </c>
    </row>
    <row r="184">
      <c r="J184">
        <f>IF($A184="","",SUMIFS(Schedule!$P:$P,Schedule!$Q:$Q,$B$2,Schedule!$D:$D,$A184,Schedule!$E:$E,$B184))</f>
        <v/>
      </c>
    </row>
    <row r="185">
      <c r="J185">
        <f>IF($A185="","",SUMIFS(Schedule!$P:$P,Schedule!$Q:$Q,$B$2,Schedule!$D:$D,$A185,Schedule!$E:$E,$B185))</f>
        <v/>
      </c>
    </row>
    <row r="186">
      <c r="J186">
        <f>IF($A186="","",SUMIFS(Schedule!$P:$P,Schedule!$Q:$Q,$B$2,Schedule!$D:$D,$A186,Schedule!$E:$E,$B186))</f>
        <v/>
      </c>
    </row>
    <row r="187">
      <c r="J187">
        <f>IF($A187="","",SUMIFS(Schedule!$P:$P,Schedule!$Q:$Q,$B$2,Schedule!$D:$D,$A187,Schedule!$E:$E,$B187))</f>
        <v/>
      </c>
    </row>
    <row r="188">
      <c r="J188">
        <f>IF($A188="","",SUMIFS(Schedule!$P:$P,Schedule!$Q:$Q,$B$2,Schedule!$D:$D,$A188,Schedule!$E:$E,$B188))</f>
        <v/>
      </c>
    </row>
    <row r="189">
      <c r="J189">
        <f>IF($A189="","",SUMIFS(Schedule!$P:$P,Schedule!$Q:$Q,$B$2,Schedule!$D:$D,$A189,Schedule!$E:$E,$B189))</f>
        <v/>
      </c>
    </row>
    <row r="190">
      <c r="J190">
        <f>IF($A190="","",SUMIFS(Schedule!$P:$P,Schedule!$Q:$Q,$B$2,Schedule!$D:$D,$A190,Schedule!$E:$E,$B190))</f>
        <v/>
      </c>
    </row>
    <row r="191">
      <c r="J191">
        <f>IF($A191="","",SUMIFS(Schedule!$P:$P,Schedule!$Q:$Q,$B$2,Schedule!$D:$D,$A191,Schedule!$E:$E,$B191))</f>
        <v/>
      </c>
    </row>
    <row r="192">
      <c r="J192">
        <f>IF($A192="","",SUMIFS(Schedule!$P:$P,Schedule!$Q:$Q,$B$2,Schedule!$D:$D,$A192,Schedule!$E:$E,$B192))</f>
        <v/>
      </c>
    </row>
    <row r="193">
      <c r="J193">
        <f>IF($A193="","",SUMIFS(Schedule!$P:$P,Schedule!$Q:$Q,$B$2,Schedule!$D:$D,$A193,Schedule!$E:$E,$B193))</f>
        <v/>
      </c>
    </row>
    <row r="194">
      <c r="J194">
        <f>IF($A194="","",SUMIFS(Schedule!$P:$P,Schedule!$Q:$Q,$B$2,Schedule!$D:$D,$A194,Schedule!$E:$E,$B194))</f>
        <v/>
      </c>
    </row>
    <row r="195">
      <c r="J195">
        <f>IF($A195="","",SUMIFS(Schedule!$P:$P,Schedule!$Q:$Q,$B$2,Schedule!$D:$D,$A195,Schedule!$E:$E,$B195))</f>
        <v/>
      </c>
    </row>
    <row r="196">
      <c r="J196">
        <f>IF($A196="","",SUMIFS(Schedule!$P:$P,Schedule!$Q:$Q,$B$2,Schedule!$D:$D,$A196,Schedule!$E:$E,$B196))</f>
        <v/>
      </c>
    </row>
    <row r="197">
      <c r="J197">
        <f>IF($A197="","",SUMIFS(Schedule!$P:$P,Schedule!$Q:$Q,$B$2,Schedule!$D:$D,$A197,Schedule!$E:$E,$B197))</f>
        <v/>
      </c>
    </row>
    <row r="198">
      <c r="J198">
        <f>IF($A198="","",SUMIFS(Schedule!$P:$P,Schedule!$Q:$Q,$B$2,Schedule!$D:$D,$A198,Schedule!$E:$E,$B198))</f>
        <v/>
      </c>
    </row>
    <row r="199">
      <c r="J199">
        <f>IF($A199="","",SUMIFS(Schedule!$P:$P,Schedule!$Q:$Q,$B$2,Schedule!$D:$D,$A199,Schedule!$E:$E,$B199))</f>
        <v/>
      </c>
    </row>
    <row r="200">
      <c r="J200">
        <f>IF($A200="","",SUMIFS(Schedule!$P:$P,Schedule!$Q:$Q,$B$2,Schedule!$D:$D,$A200,Schedule!$E:$E,$B200))</f>
        <v/>
      </c>
    </row>
    <row r="201">
      <c r="J201">
        <f>IF($A201="","",SUMIFS(Schedule!$P:$P,Schedule!$Q:$Q,$B$2,Schedule!$D:$D,$A201,Schedule!$E:$E,$B201))</f>
        <v/>
      </c>
    </row>
    <row r="202">
      <c r="J202">
        <f>IF($A202="","",SUMIFS(Schedule!$P:$P,Schedule!$Q:$Q,$B$2,Schedule!$D:$D,$A202,Schedule!$E:$E,$B202))</f>
        <v/>
      </c>
    </row>
    <row r="203">
      <c r="J203">
        <f>IF($A203="","",SUMIFS(Schedule!$P:$P,Schedule!$Q:$Q,$B$2,Schedule!$D:$D,$A203,Schedule!$E:$E,$B203))</f>
        <v/>
      </c>
    </row>
    <row r="204">
      <c r="J204">
        <f>IF($A204="","",SUMIFS(Schedule!$P:$P,Schedule!$Q:$Q,$B$2,Schedule!$D:$D,$A204,Schedule!$E:$E,$B204))</f>
        <v/>
      </c>
    </row>
    <row r="205">
      <c r="J205">
        <f>IF($A205="","",SUMIFS(Schedule!$P:$P,Schedule!$Q:$Q,$B$2,Schedule!$D:$D,$A205,Schedule!$E:$E,$B205))</f>
        <v/>
      </c>
    </row>
    <row r="206">
      <c r="J206">
        <f>IF($A206="","",SUMIFS(Schedule!$P:$P,Schedule!$Q:$Q,$B$2,Schedule!$D:$D,$A206,Schedule!$E:$E,$B206))</f>
        <v/>
      </c>
    </row>
    <row r="207">
      <c r="J207">
        <f>IF($A207="","",SUMIFS(Schedule!$P:$P,Schedule!$Q:$Q,$B$2,Schedule!$D:$D,$A207,Schedule!$E:$E,$B207))</f>
        <v/>
      </c>
    </row>
    <row r="208">
      <c r="J208">
        <f>IF($A208="","",SUMIFS(Schedule!$P:$P,Schedule!$Q:$Q,$B$2,Schedule!$D:$D,$A208,Schedule!$E:$E,$B208))</f>
        <v/>
      </c>
    </row>
    <row r="209">
      <c r="J209">
        <f>IF($A209="","",SUMIFS(Schedule!$P:$P,Schedule!$Q:$Q,$B$2,Schedule!$D:$D,$A209,Schedule!$E:$E,$B209))</f>
        <v/>
      </c>
    </row>
    <row r="210">
      <c r="J210">
        <f>IF($A210="","",SUMIFS(Schedule!$P:$P,Schedule!$Q:$Q,$B$2,Schedule!$D:$D,$A210,Schedule!$E:$E,$B210))</f>
        <v/>
      </c>
    </row>
    <row r="211">
      <c r="J211">
        <f>IF($A211="","",SUMIFS(Schedule!$P:$P,Schedule!$Q:$Q,$B$2,Schedule!$D:$D,$A211,Schedule!$E:$E,$B211))</f>
        <v/>
      </c>
    </row>
    <row r="212">
      <c r="J212">
        <f>IF($A212="","",SUMIFS(Schedule!$P:$P,Schedule!$Q:$Q,$B$2,Schedule!$D:$D,$A212,Schedule!$E:$E,$B212))</f>
        <v/>
      </c>
    </row>
    <row r="213">
      <c r="J213">
        <f>IF($A213="","",SUMIFS(Schedule!$P:$P,Schedule!$Q:$Q,$B$2,Schedule!$D:$D,$A213,Schedule!$E:$E,$B213))</f>
        <v/>
      </c>
    </row>
    <row r="214">
      <c r="J214">
        <f>IF($A214="","",SUMIFS(Schedule!$P:$P,Schedule!$Q:$Q,$B$2,Schedule!$D:$D,$A214,Schedule!$E:$E,$B214))</f>
        <v/>
      </c>
    </row>
    <row r="215">
      <c r="J215">
        <f>IF($A215="","",SUMIFS(Schedule!$P:$P,Schedule!$Q:$Q,$B$2,Schedule!$D:$D,$A215,Schedule!$E:$E,$B215))</f>
        <v/>
      </c>
    </row>
    <row r="216">
      <c r="J216">
        <f>IF($A216="","",SUMIFS(Schedule!$P:$P,Schedule!$Q:$Q,$B$2,Schedule!$D:$D,$A216,Schedule!$E:$E,$B216))</f>
        <v/>
      </c>
    </row>
    <row r="217">
      <c r="J217">
        <f>IF($A217="","",SUMIFS(Schedule!$P:$P,Schedule!$Q:$Q,$B$2,Schedule!$D:$D,$A217,Schedule!$E:$E,$B217))</f>
        <v/>
      </c>
    </row>
    <row r="218">
      <c r="J218">
        <f>IF($A218="","",SUMIFS(Schedule!$P:$P,Schedule!$Q:$Q,$B$2,Schedule!$D:$D,$A218,Schedule!$E:$E,$B218))</f>
        <v/>
      </c>
    </row>
    <row r="219">
      <c r="J219">
        <f>IF($A219="","",SUMIFS(Schedule!$P:$P,Schedule!$Q:$Q,$B$2,Schedule!$D:$D,$A219,Schedule!$E:$E,$B219))</f>
        <v/>
      </c>
    </row>
    <row r="220">
      <c r="J220">
        <f>IF($A220="","",SUMIFS(Schedule!$P:$P,Schedule!$Q:$Q,$B$2,Schedule!$D:$D,$A220,Schedule!$E:$E,$B220))</f>
        <v/>
      </c>
    </row>
    <row r="221">
      <c r="J221">
        <f>IF($A221="","",SUMIFS(Schedule!$P:$P,Schedule!$Q:$Q,$B$2,Schedule!$D:$D,$A221,Schedule!$E:$E,$B221))</f>
        <v/>
      </c>
    </row>
    <row r="222">
      <c r="J222">
        <f>IF($A222="","",SUMIFS(Schedule!$P:$P,Schedule!$Q:$Q,$B$2,Schedule!$D:$D,$A222,Schedule!$E:$E,$B222))</f>
        <v/>
      </c>
    </row>
    <row r="223">
      <c r="J223">
        <f>IF($A223="","",SUMIFS(Schedule!$P:$P,Schedule!$Q:$Q,$B$2,Schedule!$D:$D,$A223,Schedule!$E:$E,$B223))</f>
        <v/>
      </c>
    </row>
    <row r="224">
      <c r="J224">
        <f>IF($A224="","",SUMIFS(Schedule!$P:$P,Schedule!$Q:$Q,$B$2,Schedule!$D:$D,$A224,Schedule!$E:$E,$B224))</f>
        <v/>
      </c>
    </row>
    <row r="225">
      <c r="J225">
        <f>IF($A225="","",SUMIFS(Schedule!$P:$P,Schedule!$Q:$Q,$B$2,Schedule!$D:$D,$A225,Schedule!$E:$E,$B225))</f>
        <v/>
      </c>
    </row>
    <row r="226">
      <c r="J226">
        <f>IF($A226="","",SUMIFS(Schedule!$P:$P,Schedule!$Q:$Q,$B$2,Schedule!$D:$D,$A226,Schedule!$E:$E,$B226))</f>
        <v/>
      </c>
    </row>
    <row r="227">
      <c r="J227">
        <f>IF($A227="","",SUMIFS(Schedule!$P:$P,Schedule!$Q:$Q,$B$2,Schedule!$D:$D,$A227,Schedule!$E:$E,$B227))</f>
        <v/>
      </c>
    </row>
    <row r="228">
      <c r="J228">
        <f>IF($A228="","",SUMIFS(Schedule!$P:$P,Schedule!$Q:$Q,$B$2,Schedule!$D:$D,$A228,Schedule!$E:$E,$B228))</f>
        <v/>
      </c>
    </row>
    <row r="229">
      <c r="J229">
        <f>IF($A229="","",SUMIFS(Schedule!$P:$P,Schedule!$Q:$Q,$B$2,Schedule!$D:$D,$A229,Schedule!$E:$E,$B229))</f>
        <v/>
      </c>
    </row>
    <row r="230">
      <c r="J230">
        <f>IF($A230="","",SUMIFS(Schedule!$P:$P,Schedule!$Q:$Q,$B$2,Schedule!$D:$D,$A230,Schedule!$E:$E,$B230))</f>
        <v/>
      </c>
    </row>
    <row r="231">
      <c r="J231">
        <f>IF($A231="","",SUMIFS(Schedule!$P:$P,Schedule!$Q:$Q,$B$2,Schedule!$D:$D,$A231,Schedule!$E:$E,$B231))</f>
        <v/>
      </c>
    </row>
    <row r="232">
      <c r="J232">
        <f>IF($A232="","",SUMIFS(Schedule!$P:$P,Schedule!$Q:$Q,$B$2,Schedule!$D:$D,$A232,Schedule!$E:$E,$B232))</f>
        <v/>
      </c>
    </row>
    <row r="233">
      <c r="J233">
        <f>IF($A233="","",SUMIFS(Schedule!$P:$P,Schedule!$Q:$Q,$B$2,Schedule!$D:$D,$A233,Schedule!$E:$E,$B233))</f>
        <v/>
      </c>
    </row>
    <row r="234">
      <c r="J234">
        <f>IF($A234="","",SUMIFS(Schedule!$P:$P,Schedule!$Q:$Q,$B$2,Schedule!$D:$D,$A234,Schedule!$E:$E,$B234))</f>
        <v/>
      </c>
    </row>
    <row r="235">
      <c r="J235">
        <f>IF($A235="","",SUMIFS(Schedule!$P:$P,Schedule!$Q:$Q,$B$2,Schedule!$D:$D,$A235,Schedule!$E:$E,$B235))</f>
        <v/>
      </c>
    </row>
    <row r="236">
      <c r="J236">
        <f>IF($A236="","",SUMIFS(Schedule!$P:$P,Schedule!$Q:$Q,$B$2,Schedule!$D:$D,$A236,Schedule!$E:$E,$B236))</f>
        <v/>
      </c>
    </row>
    <row r="237">
      <c r="J237">
        <f>IF($A237="","",SUMIFS(Schedule!$P:$P,Schedule!$Q:$Q,$B$2,Schedule!$D:$D,$A237,Schedule!$E:$E,$B237))</f>
        <v/>
      </c>
    </row>
    <row r="238">
      <c r="J238">
        <f>IF($A238="","",SUMIFS(Schedule!$P:$P,Schedule!$Q:$Q,$B$2,Schedule!$D:$D,$A238,Schedule!$E:$E,$B238))</f>
        <v/>
      </c>
    </row>
    <row r="239">
      <c r="J239">
        <f>IF($A239="","",SUMIFS(Schedule!$P:$P,Schedule!$Q:$Q,$B$2,Schedule!$D:$D,$A239,Schedule!$E:$E,$B239))</f>
        <v/>
      </c>
    </row>
    <row r="240">
      <c r="J240">
        <f>IF($A240="","",SUMIFS(Schedule!$P:$P,Schedule!$Q:$Q,$B$2,Schedule!$D:$D,$A240,Schedule!$E:$E,$B240))</f>
        <v/>
      </c>
    </row>
    <row r="241">
      <c r="J241">
        <f>IF($A241="","",SUMIFS(Schedule!$P:$P,Schedule!$Q:$Q,$B$2,Schedule!$D:$D,$A241,Schedule!$E:$E,$B241))</f>
        <v/>
      </c>
    </row>
    <row r="242">
      <c r="J242">
        <f>IF($A242="","",SUMIFS(Schedule!$P:$P,Schedule!$Q:$Q,$B$2,Schedule!$D:$D,$A242,Schedule!$E:$E,$B242))</f>
        <v/>
      </c>
    </row>
    <row r="243">
      <c r="J243">
        <f>IF($A243="","",SUMIFS(Schedule!$P:$P,Schedule!$Q:$Q,$B$2,Schedule!$D:$D,$A243,Schedule!$E:$E,$B243))</f>
        <v/>
      </c>
    </row>
    <row r="244">
      <c r="J244">
        <f>IF($A244="","",SUMIFS(Schedule!$P:$P,Schedule!$Q:$Q,$B$2,Schedule!$D:$D,$A244,Schedule!$E:$E,$B244))</f>
        <v/>
      </c>
    </row>
    <row r="245">
      <c r="J245">
        <f>IF($A245="","",SUMIFS(Schedule!$P:$P,Schedule!$Q:$Q,$B$2,Schedule!$D:$D,$A245,Schedule!$E:$E,$B245))</f>
        <v/>
      </c>
    </row>
    <row r="246">
      <c r="J246">
        <f>IF($A246="","",SUMIFS(Schedule!$P:$P,Schedule!$Q:$Q,$B$2,Schedule!$D:$D,$A246,Schedule!$E:$E,$B246))</f>
        <v/>
      </c>
    </row>
    <row r="247">
      <c r="J247">
        <f>IF($A247="","",SUMIFS(Schedule!$P:$P,Schedule!$Q:$Q,$B$2,Schedule!$D:$D,$A247,Schedule!$E:$E,$B247))</f>
        <v/>
      </c>
    </row>
    <row r="248">
      <c r="J248">
        <f>IF($A248="","",SUMIFS(Schedule!$P:$P,Schedule!$Q:$Q,$B$2,Schedule!$D:$D,$A248,Schedule!$E:$E,$B248))</f>
        <v/>
      </c>
    </row>
    <row r="249">
      <c r="J249">
        <f>IF($A249="","",SUMIFS(Schedule!$P:$P,Schedule!$Q:$Q,$B$2,Schedule!$D:$D,$A249,Schedule!$E:$E,$B249))</f>
        <v/>
      </c>
    </row>
    <row r="250">
      <c r="J250">
        <f>IF($A250="","",SUMIFS(Schedule!$P:$P,Schedule!$Q:$Q,$B$2,Schedule!$D:$D,$A250,Schedule!$E:$E,$B250))</f>
        <v/>
      </c>
    </row>
    <row r="251">
      <c r="J251">
        <f>IF($A251="","",SUMIFS(Schedule!$P:$P,Schedule!$Q:$Q,$B$2,Schedule!$D:$D,$A251,Schedule!$E:$E,$B251))</f>
        <v/>
      </c>
    </row>
    <row r="252">
      <c r="J252">
        <f>IF($A252="","",SUMIFS(Schedule!$P:$P,Schedule!$Q:$Q,$B$2,Schedule!$D:$D,$A252,Schedule!$E:$E,$B252))</f>
        <v/>
      </c>
    </row>
    <row r="253">
      <c r="J253">
        <f>IF($A253="","",SUMIFS(Schedule!$P:$P,Schedule!$Q:$Q,$B$2,Schedule!$D:$D,$A253,Schedule!$E:$E,$B253))</f>
        <v/>
      </c>
    </row>
    <row r="254">
      <c r="J254">
        <f>IF($A254="","",SUMIFS(Schedule!$P:$P,Schedule!$Q:$Q,$B$2,Schedule!$D:$D,$A254,Schedule!$E:$E,$B254))</f>
        <v/>
      </c>
    </row>
    <row r="255">
      <c r="J255">
        <f>IF($A255="","",SUMIFS(Schedule!$P:$P,Schedule!$Q:$Q,$B$2,Schedule!$D:$D,$A255,Schedule!$E:$E,$B255))</f>
        <v/>
      </c>
    </row>
    <row r="256">
      <c r="J256">
        <f>IF($A256="","",SUMIFS(Schedule!$P:$P,Schedule!$Q:$Q,$B$2,Schedule!$D:$D,$A256,Schedule!$E:$E,$B256))</f>
        <v/>
      </c>
    </row>
    <row r="257">
      <c r="J257">
        <f>IF($A257="","",SUMIFS(Schedule!$P:$P,Schedule!$Q:$Q,$B$2,Schedule!$D:$D,$A257,Schedule!$E:$E,$B257))</f>
        <v/>
      </c>
    </row>
    <row r="258">
      <c r="J258">
        <f>IF($A258="","",SUMIFS(Schedule!$P:$P,Schedule!$Q:$Q,$B$2,Schedule!$D:$D,$A258,Schedule!$E:$E,$B258))</f>
        <v/>
      </c>
    </row>
    <row r="259">
      <c r="J259">
        <f>IF($A259="","",SUMIFS(Schedule!$P:$P,Schedule!$Q:$Q,$B$2,Schedule!$D:$D,$A259,Schedule!$E:$E,$B259))</f>
        <v/>
      </c>
    </row>
    <row r="260">
      <c r="J260">
        <f>IF($A260="","",SUMIFS(Schedule!$P:$P,Schedule!$Q:$Q,$B$2,Schedule!$D:$D,$A260,Schedule!$E:$E,$B260))</f>
        <v/>
      </c>
    </row>
    <row r="261">
      <c r="J261">
        <f>IF($A261="","",SUMIFS(Schedule!$P:$P,Schedule!$Q:$Q,$B$2,Schedule!$D:$D,$A261,Schedule!$E:$E,$B261))</f>
        <v/>
      </c>
    </row>
    <row r="262">
      <c r="J262">
        <f>IF($A262="","",SUMIFS(Schedule!$P:$P,Schedule!$Q:$Q,$B$2,Schedule!$D:$D,$A262,Schedule!$E:$E,$B262))</f>
        <v/>
      </c>
    </row>
    <row r="263">
      <c r="J263">
        <f>IF($A263="","",SUMIFS(Schedule!$P:$P,Schedule!$Q:$Q,$B$2,Schedule!$D:$D,$A263,Schedule!$E:$E,$B263))</f>
        <v/>
      </c>
    </row>
    <row r="264">
      <c r="J264">
        <f>IF($A264="","",SUMIFS(Schedule!$P:$P,Schedule!$Q:$Q,$B$2,Schedule!$D:$D,$A264,Schedule!$E:$E,$B264))</f>
        <v/>
      </c>
    </row>
    <row r="265">
      <c r="J265">
        <f>IF($A265="","",SUMIFS(Schedule!$P:$P,Schedule!$Q:$Q,$B$2,Schedule!$D:$D,$A265,Schedule!$E:$E,$B265))</f>
        <v/>
      </c>
    </row>
    <row r="266">
      <c r="J266">
        <f>IF($A266="","",SUMIFS(Schedule!$P:$P,Schedule!$Q:$Q,$B$2,Schedule!$D:$D,$A266,Schedule!$E:$E,$B266))</f>
        <v/>
      </c>
    </row>
    <row r="267">
      <c r="J267">
        <f>IF($A267="","",SUMIFS(Schedule!$P:$P,Schedule!$Q:$Q,$B$2,Schedule!$D:$D,$A267,Schedule!$E:$E,$B267))</f>
        <v/>
      </c>
    </row>
    <row r="268">
      <c r="J268">
        <f>IF($A268="","",SUMIFS(Schedule!$P:$P,Schedule!$Q:$Q,$B$2,Schedule!$D:$D,$A268,Schedule!$E:$E,$B268))</f>
        <v/>
      </c>
    </row>
    <row r="269">
      <c r="J269">
        <f>IF($A269="","",SUMIFS(Schedule!$P:$P,Schedule!$Q:$Q,$B$2,Schedule!$D:$D,$A269,Schedule!$E:$E,$B269))</f>
        <v/>
      </c>
    </row>
    <row r="270">
      <c r="J270">
        <f>IF($A270="","",SUMIFS(Schedule!$P:$P,Schedule!$Q:$Q,$B$2,Schedule!$D:$D,$A270,Schedule!$E:$E,$B270))</f>
        <v/>
      </c>
    </row>
    <row r="271">
      <c r="J271">
        <f>IF($A271="","",SUMIFS(Schedule!$P:$P,Schedule!$Q:$Q,$B$2,Schedule!$D:$D,$A271,Schedule!$E:$E,$B271))</f>
        <v/>
      </c>
    </row>
    <row r="272">
      <c r="J272">
        <f>IF($A272="","",SUMIFS(Schedule!$P:$P,Schedule!$Q:$Q,$B$2,Schedule!$D:$D,$A272,Schedule!$E:$E,$B272))</f>
        <v/>
      </c>
    </row>
    <row r="273">
      <c r="J273">
        <f>IF($A273="","",SUMIFS(Schedule!$P:$P,Schedule!$Q:$Q,$B$2,Schedule!$D:$D,$A273,Schedule!$E:$E,$B273))</f>
        <v/>
      </c>
    </row>
    <row r="274">
      <c r="J274">
        <f>IF($A274="","",SUMIFS(Schedule!$P:$P,Schedule!$Q:$Q,$B$2,Schedule!$D:$D,$A274,Schedule!$E:$E,$B274))</f>
        <v/>
      </c>
    </row>
    <row r="275">
      <c r="J275">
        <f>IF($A275="","",SUMIFS(Schedule!$P:$P,Schedule!$Q:$Q,$B$2,Schedule!$D:$D,$A275,Schedule!$E:$E,$B275))</f>
        <v/>
      </c>
    </row>
    <row r="276">
      <c r="J276">
        <f>IF($A276="","",SUMIFS(Schedule!$P:$P,Schedule!$Q:$Q,$B$2,Schedule!$D:$D,$A276,Schedule!$E:$E,$B276))</f>
        <v/>
      </c>
    </row>
    <row r="277">
      <c r="J277">
        <f>IF($A277="","",SUMIFS(Schedule!$P:$P,Schedule!$Q:$Q,$B$2,Schedule!$D:$D,$A277,Schedule!$E:$E,$B277))</f>
        <v/>
      </c>
    </row>
    <row r="278">
      <c r="J278">
        <f>IF($A278="","",SUMIFS(Schedule!$P:$P,Schedule!$Q:$Q,$B$2,Schedule!$D:$D,$A278,Schedule!$E:$E,$B278))</f>
        <v/>
      </c>
    </row>
    <row r="279">
      <c r="J279">
        <f>IF($A279="","",SUMIFS(Schedule!$P:$P,Schedule!$Q:$Q,$B$2,Schedule!$D:$D,$A279,Schedule!$E:$E,$B279))</f>
        <v/>
      </c>
    </row>
    <row r="280">
      <c r="J280">
        <f>IF($A280="","",SUMIFS(Schedule!$P:$P,Schedule!$Q:$Q,$B$2,Schedule!$D:$D,$A280,Schedule!$E:$E,$B280))</f>
        <v/>
      </c>
    </row>
    <row r="281">
      <c r="J281">
        <f>IF($A281="","",SUMIFS(Schedule!$P:$P,Schedule!$Q:$Q,$B$2,Schedule!$D:$D,$A281,Schedule!$E:$E,$B281))</f>
        <v/>
      </c>
    </row>
    <row r="282">
      <c r="J282">
        <f>IF($A282="","",SUMIFS(Schedule!$P:$P,Schedule!$Q:$Q,$B$2,Schedule!$D:$D,$A282,Schedule!$E:$E,$B282))</f>
        <v/>
      </c>
    </row>
    <row r="283">
      <c r="J283">
        <f>IF($A283="","",SUMIFS(Schedule!$P:$P,Schedule!$Q:$Q,$B$2,Schedule!$D:$D,$A283,Schedule!$E:$E,$B283))</f>
        <v/>
      </c>
    </row>
    <row r="284">
      <c r="J284">
        <f>IF($A284="","",SUMIFS(Schedule!$P:$P,Schedule!$Q:$Q,$B$2,Schedule!$D:$D,$A284,Schedule!$E:$E,$B284))</f>
        <v/>
      </c>
    </row>
    <row r="285">
      <c r="J285">
        <f>IF($A285="","",SUMIFS(Schedule!$P:$P,Schedule!$Q:$Q,$B$2,Schedule!$D:$D,$A285,Schedule!$E:$E,$B285))</f>
        <v/>
      </c>
    </row>
    <row r="286">
      <c r="J286">
        <f>IF($A286="","",SUMIFS(Schedule!$P:$P,Schedule!$Q:$Q,$B$2,Schedule!$D:$D,$A286,Schedule!$E:$E,$B286))</f>
        <v/>
      </c>
    </row>
    <row r="287">
      <c r="J287">
        <f>IF($A287="","",SUMIFS(Schedule!$P:$P,Schedule!$Q:$Q,$B$2,Schedule!$D:$D,$A287,Schedule!$E:$E,$B287))</f>
        <v/>
      </c>
    </row>
    <row r="288">
      <c r="J288">
        <f>IF($A288="","",SUMIFS(Schedule!$P:$P,Schedule!$Q:$Q,$B$2,Schedule!$D:$D,$A288,Schedule!$E:$E,$B288))</f>
        <v/>
      </c>
    </row>
    <row r="289">
      <c r="J289">
        <f>IF($A289="","",SUMIFS(Schedule!$P:$P,Schedule!$Q:$Q,$B$2,Schedule!$D:$D,$A289,Schedule!$E:$E,$B289))</f>
        <v/>
      </c>
    </row>
    <row r="290">
      <c r="J290">
        <f>IF($A290="","",SUMIFS(Schedule!$P:$P,Schedule!$Q:$Q,$B$2,Schedule!$D:$D,$A290,Schedule!$E:$E,$B290))</f>
        <v/>
      </c>
    </row>
    <row r="291">
      <c r="J291">
        <f>IF($A291="","",SUMIFS(Schedule!$P:$P,Schedule!$Q:$Q,$B$2,Schedule!$D:$D,$A291,Schedule!$E:$E,$B291))</f>
        <v/>
      </c>
    </row>
    <row r="292">
      <c r="J292">
        <f>IF($A292="","",SUMIFS(Schedule!$P:$P,Schedule!$Q:$Q,$B$2,Schedule!$D:$D,$A292,Schedule!$E:$E,$B292))</f>
        <v/>
      </c>
    </row>
    <row r="293">
      <c r="J293">
        <f>IF($A293="","",SUMIFS(Schedule!$P:$P,Schedule!$Q:$Q,$B$2,Schedule!$D:$D,$A293,Schedule!$E:$E,$B293))</f>
        <v/>
      </c>
    </row>
    <row r="294">
      <c r="J294">
        <f>IF($A294="","",SUMIFS(Schedule!$P:$P,Schedule!$Q:$Q,$B$2,Schedule!$D:$D,$A294,Schedule!$E:$E,$B294))</f>
        <v/>
      </c>
    </row>
    <row r="295">
      <c r="J295">
        <f>IF($A295="","",SUMIFS(Schedule!$P:$P,Schedule!$Q:$Q,$B$2,Schedule!$D:$D,$A295,Schedule!$E:$E,$B295))</f>
        <v/>
      </c>
    </row>
    <row r="296">
      <c r="J296">
        <f>IF($A296="","",SUMIFS(Schedule!$P:$P,Schedule!$Q:$Q,$B$2,Schedule!$D:$D,$A296,Schedule!$E:$E,$B296))</f>
        <v/>
      </c>
    </row>
    <row r="297">
      <c r="J297">
        <f>IF($A297="","",SUMIFS(Schedule!$P:$P,Schedule!$Q:$Q,$B$2,Schedule!$D:$D,$A297,Schedule!$E:$E,$B297))</f>
        <v/>
      </c>
    </row>
    <row r="298">
      <c r="J298">
        <f>IF($A298="","",SUMIFS(Schedule!$P:$P,Schedule!$Q:$Q,$B$2,Schedule!$D:$D,$A298,Schedule!$E:$E,$B298))</f>
        <v/>
      </c>
    </row>
    <row r="299">
      <c r="J299">
        <f>IF($A299="","",SUMIFS(Schedule!$P:$P,Schedule!$Q:$Q,$B$2,Schedule!$D:$D,$A299,Schedule!$E:$E,$B299))</f>
        <v/>
      </c>
    </row>
    <row r="300">
      <c r="J300">
        <f>IF($A300="","",SUMIFS(Schedule!$P:$P,Schedule!$Q:$Q,$B$2,Schedule!$D:$D,$A300,Schedule!$E:$E,$B300))</f>
        <v/>
      </c>
    </row>
  </sheetData>
  <conditionalFormatting sqref="C5:I300">
    <cfRule type="expression" priority="1" dxfId="0">
      <formula>C5="OFF"</formula>
    </cfRule>
  </conditionalFormatting>
  <conditionalFormatting sqref="A5:B300">
    <cfRule type="expression" priority="2" dxfId="1">
      <formula>$A5&lt;&gt;""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7" customWidth="1" min="10" max="10"/>
  </cols>
  <sheetData>
    <row r="1">
      <c r="A1" s="5" t="inlineStr">
        <is>
          <t>FARMING (농장) ACCOUNTS — Weekly Board</t>
        </is>
      </c>
    </row>
    <row r="2">
      <c r="A2" s="6" t="inlineStr">
        <is>
          <t>Week start (Sun):</t>
        </is>
      </c>
      <c r="B2" s="7">
        <f>TEXT(TODAY()-WEEKDAY(TODAY())+1,"yyyy-mm-dd")</f>
        <v/>
      </c>
      <c r="D2" s="8" t="inlineStr">
        <is>
          <t>← 다른 주를 보려면 일요일 날짜(yyyy-mm-dd)를 직접 입력. 이 탭은 보기 전용 — 수정은 Schedule 탭에서.</t>
        </is>
      </c>
    </row>
    <row r="3">
      <c r="A3" s="9" t="inlineStr">
        <is>
          <t>Account</t>
        </is>
      </c>
      <c r="B3" s="9" t="inlineStr">
        <is>
          <t>Slot</t>
        </is>
      </c>
      <c r="C3" s="9" t="inlineStr">
        <is>
          <t>Sun</t>
        </is>
      </c>
      <c r="D3" s="9" t="inlineStr">
        <is>
          <t>Mon</t>
        </is>
      </c>
      <c r="E3" s="9" t="inlineStr">
        <is>
          <t>Tue</t>
        </is>
      </c>
      <c r="F3" s="9" t="inlineStr">
        <is>
          <t>Wed</t>
        </is>
      </c>
      <c r="G3" s="9" t="inlineStr">
        <is>
          <t>Thu</t>
        </is>
      </c>
      <c r="H3" s="9" t="inlineStr">
        <is>
          <t>Fri</t>
        </is>
      </c>
      <c r="I3" s="9" t="inlineStr">
        <is>
          <t>Sat</t>
        </is>
      </c>
      <c r="J3" s="9" t="inlineStr">
        <is>
          <t>Hours</t>
        </is>
      </c>
    </row>
    <row r="4">
      <c r="A4" s="8" t="inlineStr">
        <is>
          <t>date →</t>
        </is>
      </c>
      <c r="C4" s="10">
        <f>TEXT(DATEVALUE($B$2)+0,"yyyy-mm-dd")</f>
        <v/>
      </c>
      <c r="D4" s="10">
        <f>TEXT(DATEVALUE($B$2)+1,"yyyy-mm-dd")</f>
        <v/>
      </c>
      <c r="E4" s="10">
        <f>TEXT(DATEVALUE($B$2)+2,"yyyy-mm-dd")</f>
        <v/>
      </c>
      <c r="F4" s="10">
        <f>TEXT(DATEVALUE($B$2)+3,"yyyy-mm-dd")</f>
        <v/>
      </c>
      <c r="G4" s="10">
        <f>TEXT(DATEVALUE($B$2)+4,"yyyy-mm-dd")</f>
        <v/>
      </c>
      <c r="H4" s="10">
        <f>TEXT(DATEVALUE($B$2)+5,"yyyy-mm-dd")</f>
        <v/>
      </c>
      <c r="I4" s="10">
        <f>TEXT(DATEVALUE($B$2)+6,"yyyy-mm-dd")</f>
        <v/>
      </c>
    </row>
    <row r="5">
      <c r="A5" t="inlineStr">
        <is>
          <t>Kangaroo</t>
        </is>
      </c>
      <c r="B5" t="n">
        <v>1</v>
      </c>
      <c r="C5">
        <f>ARRAYFORMULA(IF($A5:$A300="","",IFERROR(VLOOKUP(C$4&amp;"|"&amp;$A5:$A300&amp;"|"&amp;$B5:$B300,Schedule!$R:$S,2,FALSE),"")))</f>
        <v/>
      </c>
      <c r="D5">
        <f>ARRAYFORMULA(IF($A5:$A300="","",IFERROR(VLOOKUP(D$4&amp;"|"&amp;$A5:$A300&amp;"|"&amp;$B5:$B300,Schedule!$R:$S,2,FALSE),"")))</f>
        <v/>
      </c>
      <c r="E5">
        <f>ARRAYFORMULA(IF($A5:$A300="","",IFERROR(VLOOKUP(E$4&amp;"|"&amp;$A5:$A300&amp;"|"&amp;$B5:$B300,Schedule!$R:$S,2,FALSE),"")))</f>
        <v/>
      </c>
      <c r="F5">
        <f>ARRAYFORMULA(IF($A5:$A300="","",IFERROR(VLOOKUP(F$4&amp;"|"&amp;$A5:$A300&amp;"|"&amp;$B5:$B300,Schedule!$R:$S,2,FALSE),"")))</f>
        <v/>
      </c>
      <c r="G5">
        <f>ARRAYFORMULA(IF($A5:$A300="","",IFERROR(VLOOKUP(G$4&amp;"|"&amp;$A5:$A300&amp;"|"&amp;$B5:$B300,Schedule!$R:$S,2,FALSE),"")))</f>
        <v/>
      </c>
      <c r="H5">
        <f>ARRAYFORMULA(IF($A5:$A300="","",IFERROR(VLOOKUP(H$4&amp;"|"&amp;$A5:$A300&amp;"|"&amp;$B5:$B300,Schedule!$R:$S,2,FALSE),"")))</f>
        <v/>
      </c>
      <c r="I5">
        <f>ARRAYFORMULA(IF($A5:$A300="","",IFERROR(VLOOKUP(I$4&amp;"|"&amp;$A5:$A300&amp;"|"&amp;$B5:$B300,Schedule!$R:$S,2,FALSE),"")))</f>
        <v/>
      </c>
      <c r="J5">
        <f>IF($A5="","",SUMIFS(Schedule!$P:$P,Schedule!$Q:$Q,$B$2,Schedule!$D:$D,$A5,Schedule!$E:$E,$B5))</f>
        <v/>
      </c>
    </row>
    <row r="6">
      <c r="A6" t="inlineStr">
        <is>
          <t>Kangaroo</t>
        </is>
      </c>
      <c r="B6" t="n">
        <v>2</v>
      </c>
      <c r="J6">
        <f>IF($A6="","",SUMIFS(Schedule!$P:$P,Schedule!$Q:$Q,$B$2,Schedule!$D:$D,$A6,Schedule!$E:$E,$B6))</f>
        <v/>
      </c>
    </row>
    <row r="7">
      <c r="A7" t="inlineStr">
        <is>
          <t>Kangaroo</t>
        </is>
      </c>
      <c r="B7" t="n">
        <v>3</v>
      </c>
      <c r="J7">
        <f>IF($A7="","",SUMIFS(Schedule!$P:$P,Schedule!$Q:$Q,$B$2,Schedule!$D:$D,$A7,Schedule!$E:$E,$B7))</f>
        <v/>
      </c>
    </row>
    <row r="8">
      <c r="A8" t="inlineStr">
        <is>
          <t>Kyoryu</t>
        </is>
      </c>
      <c r="B8" t="n">
        <v>1</v>
      </c>
      <c r="J8">
        <f>IF($A8="","",SUMIFS(Schedule!$P:$P,Schedule!$Q:$Q,$B$2,Schedule!$D:$D,$A8,Schedule!$E:$E,$B8))</f>
        <v/>
      </c>
    </row>
    <row r="9">
      <c r="A9" t="inlineStr">
        <is>
          <t>Kyoryu</t>
        </is>
      </c>
      <c r="B9" t="n">
        <v>2</v>
      </c>
      <c r="J9">
        <f>IF($A9="","",SUMIFS(Schedule!$P:$P,Schedule!$Q:$Q,$B$2,Schedule!$D:$D,$A9,Schedule!$E:$E,$B9))</f>
        <v/>
      </c>
    </row>
    <row r="10">
      <c r="A10" t="inlineStr">
        <is>
          <t>Kyoryu</t>
        </is>
      </c>
      <c r="B10" t="n">
        <v>3</v>
      </c>
      <c r="J10">
        <f>IF($A10="","",SUMIFS(Schedule!$P:$P,Schedule!$Q:$Q,$B$2,Schedule!$D:$D,$A10,Schedule!$E:$E,$B10))</f>
        <v/>
      </c>
    </row>
    <row r="11">
      <c r="A11" t="inlineStr">
        <is>
          <t>Marcelo</t>
        </is>
      </c>
      <c r="B11" t="n">
        <v>1</v>
      </c>
      <c r="J11">
        <f>IF($A11="","",SUMIFS(Schedule!$P:$P,Schedule!$Q:$Q,$B$2,Schedule!$D:$D,$A11,Schedule!$E:$E,$B11))</f>
        <v/>
      </c>
    </row>
    <row r="12">
      <c r="A12" t="inlineStr">
        <is>
          <t>Marcelo</t>
        </is>
      </c>
      <c r="B12" t="n">
        <v>2</v>
      </c>
      <c r="J12">
        <f>IF($A12="","",SUMIFS(Schedule!$P:$P,Schedule!$Q:$Q,$B$2,Schedule!$D:$D,$A12,Schedule!$E:$E,$B12))</f>
        <v/>
      </c>
    </row>
    <row r="13">
      <c r="A13" t="inlineStr">
        <is>
          <t>Marcelo</t>
        </is>
      </c>
      <c r="B13" t="n">
        <v>3</v>
      </c>
      <c r="J13">
        <f>IF($A13="","",SUMIFS(Schedule!$P:$P,Schedule!$Q:$Q,$B$2,Schedule!$D:$D,$A13,Schedule!$E:$E,$B13))</f>
        <v/>
      </c>
    </row>
    <row r="14">
      <c r="A14" t="inlineStr">
        <is>
          <t>OldBlood</t>
        </is>
      </c>
      <c r="B14" t="n">
        <v>1</v>
      </c>
      <c r="J14">
        <f>IF($A14="","",SUMIFS(Schedule!$P:$P,Schedule!$Q:$Q,$B$2,Schedule!$D:$D,$A14,Schedule!$E:$E,$B14))</f>
        <v/>
      </c>
    </row>
    <row r="15">
      <c r="A15" t="inlineStr">
        <is>
          <t>Pele</t>
        </is>
      </c>
      <c r="B15" t="n">
        <v>1</v>
      </c>
      <c r="J15">
        <f>IF($A15="","",SUMIFS(Schedule!$P:$P,Schedule!$Q:$Q,$B$2,Schedule!$D:$D,$A15,Schedule!$E:$E,$B15))</f>
        <v/>
      </c>
    </row>
    <row r="16">
      <c r="A16" t="inlineStr">
        <is>
          <t>Pele</t>
        </is>
      </c>
      <c r="B16" t="n">
        <v>2</v>
      </c>
      <c r="J16">
        <f>IF($A16="","",SUMIFS(Schedule!$P:$P,Schedule!$Q:$Q,$B$2,Schedule!$D:$D,$A16,Schedule!$E:$E,$B16))</f>
        <v/>
      </c>
    </row>
    <row r="17">
      <c r="A17" t="inlineStr">
        <is>
          <t>Pele</t>
        </is>
      </c>
      <c r="B17" t="n">
        <v>3</v>
      </c>
      <c r="J17">
        <f>IF($A17="","",SUMIFS(Schedule!$P:$P,Schedule!$Q:$Q,$B$2,Schedule!$D:$D,$A17,Schedule!$E:$E,$B17))</f>
        <v/>
      </c>
    </row>
    <row r="18">
      <c r="A18" t="inlineStr">
        <is>
          <t>Ronaldo</t>
        </is>
      </c>
      <c r="B18" t="n">
        <v>1</v>
      </c>
      <c r="J18">
        <f>IF($A18="","",SUMIFS(Schedule!$P:$P,Schedule!$Q:$Q,$B$2,Schedule!$D:$D,$A18,Schedule!$E:$E,$B18))</f>
        <v/>
      </c>
    </row>
    <row r="19">
      <c r="A19" t="inlineStr">
        <is>
          <t>Ronaldo</t>
        </is>
      </c>
      <c r="B19" t="n">
        <v>2</v>
      </c>
      <c r="J19">
        <f>IF($A19="","",SUMIFS(Schedule!$P:$P,Schedule!$Q:$Q,$B$2,Schedule!$D:$D,$A19,Schedule!$E:$E,$B19))</f>
        <v/>
      </c>
    </row>
    <row r="20">
      <c r="A20" t="inlineStr">
        <is>
          <t>Ronaldo</t>
        </is>
      </c>
      <c r="B20" t="n">
        <v>3</v>
      </c>
      <c r="J20">
        <f>IF($A20="","",SUMIFS(Schedule!$P:$P,Schedule!$Q:$Q,$B$2,Schedule!$D:$D,$A20,Schedule!$E:$E,$B20))</f>
        <v/>
      </c>
    </row>
    <row r="21">
      <c r="A21" t="inlineStr">
        <is>
          <t>Sarim</t>
        </is>
      </c>
      <c r="B21" t="n">
        <v>1</v>
      </c>
      <c r="J21">
        <f>IF($A21="","",SUMIFS(Schedule!$P:$P,Schedule!$Q:$Q,$B$2,Schedule!$D:$D,$A21,Schedule!$E:$E,$B21))</f>
        <v/>
      </c>
    </row>
    <row r="22">
      <c r="A22" t="inlineStr">
        <is>
          <t>Sarim</t>
        </is>
      </c>
      <c r="B22" t="n">
        <v>2</v>
      </c>
      <c r="J22">
        <f>IF($A22="","",SUMIFS(Schedule!$P:$P,Schedule!$Q:$Q,$B$2,Schedule!$D:$D,$A22,Schedule!$E:$E,$B22))</f>
        <v/>
      </c>
    </row>
    <row r="23">
      <c r="A23" t="inlineStr">
        <is>
          <t>Sarim</t>
        </is>
      </c>
      <c r="B23" t="n">
        <v>3</v>
      </c>
      <c r="J23">
        <f>IF($A23="","",SUMIFS(Schedule!$P:$P,Schedule!$Q:$Q,$B$2,Schedule!$D:$D,$A23,Schedule!$E:$E,$B23))</f>
        <v/>
      </c>
    </row>
    <row r="24">
      <c r="A24" t="inlineStr">
        <is>
          <t>Sinsang</t>
        </is>
      </c>
      <c r="B24" t="n">
        <v>1</v>
      </c>
      <c r="J24">
        <f>IF($A24="","",SUMIFS(Schedule!$P:$P,Schedule!$Q:$Q,$B$2,Schedule!$D:$D,$A24,Schedule!$E:$E,$B24))</f>
        <v/>
      </c>
    </row>
    <row r="25">
      <c r="A25" t="inlineStr">
        <is>
          <t>Sudden</t>
        </is>
      </c>
      <c r="B25" t="n">
        <v>1</v>
      </c>
      <c r="J25">
        <f>IF($A25="","",SUMIFS(Schedule!$P:$P,Schedule!$Q:$Q,$B$2,Schedule!$D:$D,$A25,Schedule!$E:$E,$B25))</f>
        <v/>
      </c>
    </row>
    <row r="26">
      <c r="A26" t="inlineStr">
        <is>
          <t>Sudden</t>
        </is>
      </c>
      <c r="B26" t="n">
        <v>2</v>
      </c>
      <c r="J26">
        <f>IF($A26="","",SUMIFS(Schedule!$P:$P,Schedule!$Q:$Q,$B$2,Schedule!$D:$D,$A26,Schedule!$E:$E,$B26))</f>
        <v/>
      </c>
    </row>
    <row r="27">
      <c r="A27" t="inlineStr">
        <is>
          <t>Sudden</t>
        </is>
      </c>
      <c r="B27" t="n">
        <v>3</v>
      </c>
      <c r="J27">
        <f>IF($A27="","",SUMIFS(Schedule!$P:$P,Schedule!$Q:$Q,$B$2,Schedule!$D:$D,$A27,Schedule!$E:$E,$B27))</f>
        <v/>
      </c>
    </row>
    <row r="28">
      <c r="A28" t="inlineStr">
        <is>
          <t>Sunsang</t>
        </is>
      </c>
      <c r="B28" t="n">
        <v>1</v>
      </c>
      <c r="J28">
        <f>IF($A28="","",SUMIFS(Schedule!$P:$P,Schedule!$Q:$Q,$B$2,Schedule!$D:$D,$A28,Schedule!$E:$E,$B28))</f>
        <v/>
      </c>
    </row>
    <row r="29">
      <c r="A29" t="inlineStr">
        <is>
          <t>Sunsang</t>
        </is>
      </c>
      <c r="B29" t="n">
        <v>2</v>
      </c>
      <c r="J29">
        <f>IF($A29="","",SUMIFS(Schedule!$P:$P,Schedule!$Q:$Q,$B$2,Schedule!$D:$D,$A29,Schedule!$E:$E,$B29))</f>
        <v/>
      </c>
    </row>
    <row r="30">
      <c r="A30" t="inlineStr">
        <is>
          <t>Taejo</t>
        </is>
      </c>
      <c r="B30" t="n">
        <v>1</v>
      </c>
      <c r="J30">
        <f>IF($A30="","",SUMIFS(Schedule!$P:$P,Schedule!$Q:$Q,$B$2,Schedule!$D:$D,$A30,Schedule!$E:$E,$B30))</f>
        <v/>
      </c>
    </row>
    <row r="31">
      <c r="A31" t="inlineStr">
        <is>
          <t>Taejo</t>
        </is>
      </c>
      <c r="B31" t="n">
        <v>2</v>
      </c>
      <c r="J31">
        <f>IF($A31="","",SUMIFS(Schedule!$P:$P,Schedule!$Q:$Q,$B$2,Schedule!$D:$D,$A31,Schedule!$E:$E,$B31))</f>
        <v/>
      </c>
    </row>
    <row r="32">
      <c r="A32" t="inlineStr">
        <is>
          <t>Taejo</t>
        </is>
      </c>
      <c r="B32" t="n">
        <v>3</v>
      </c>
      <c r="J32">
        <f>IF($A32="","",SUMIFS(Schedule!$P:$P,Schedule!$Q:$Q,$B$2,Schedule!$D:$D,$A32,Schedule!$E:$E,$B32))</f>
        <v/>
      </c>
    </row>
    <row r="33">
      <c r="J33">
        <f>IF($A33="","",SUMIFS(Schedule!$P:$P,Schedule!$Q:$Q,$B$2,Schedule!$D:$D,$A33,Schedule!$E:$E,$B33))</f>
        <v/>
      </c>
    </row>
    <row r="34">
      <c r="J34">
        <f>IF($A34="","",SUMIFS(Schedule!$P:$P,Schedule!$Q:$Q,$B$2,Schedule!$D:$D,$A34,Schedule!$E:$E,$B34))</f>
        <v/>
      </c>
    </row>
    <row r="35">
      <c r="J35">
        <f>IF($A35="","",SUMIFS(Schedule!$P:$P,Schedule!$Q:$Q,$B$2,Schedule!$D:$D,$A35,Schedule!$E:$E,$B35))</f>
        <v/>
      </c>
    </row>
    <row r="36">
      <c r="J36">
        <f>IF($A36="","",SUMIFS(Schedule!$P:$P,Schedule!$Q:$Q,$B$2,Schedule!$D:$D,$A36,Schedule!$E:$E,$B36))</f>
        <v/>
      </c>
    </row>
    <row r="37">
      <c r="J37">
        <f>IF($A37="","",SUMIFS(Schedule!$P:$P,Schedule!$Q:$Q,$B$2,Schedule!$D:$D,$A37,Schedule!$E:$E,$B37))</f>
        <v/>
      </c>
    </row>
    <row r="38">
      <c r="J38">
        <f>IF($A38="","",SUMIFS(Schedule!$P:$P,Schedule!$Q:$Q,$B$2,Schedule!$D:$D,$A38,Schedule!$E:$E,$B38))</f>
        <v/>
      </c>
    </row>
    <row r="39">
      <c r="J39">
        <f>IF($A39="","",SUMIFS(Schedule!$P:$P,Schedule!$Q:$Q,$B$2,Schedule!$D:$D,$A39,Schedule!$E:$E,$B39))</f>
        <v/>
      </c>
    </row>
    <row r="40">
      <c r="J40">
        <f>IF($A40="","",SUMIFS(Schedule!$P:$P,Schedule!$Q:$Q,$B$2,Schedule!$D:$D,$A40,Schedule!$E:$E,$B40))</f>
        <v/>
      </c>
    </row>
    <row r="41">
      <c r="J41">
        <f>IF($A41="","",SUMIFS(Schedule!$P:$P,Schedule!$Q:$Q,$B$2,Schedule!$D:$D,$A41,Schedule!$E:$E,$B41))</f>
        <v/>
      </c>
    </row>
    <row r="42">
      <c r="J42">
        <f>IF($A42="","",SUMIFS(Schedule!$P:$P,Schedule!$Q:$Q,$B$2,Schedule!$D:$D,$A42,Schedule!$E:$E,$B42))</f>
        <v/>
      </c>
    </row>
    <row r="43">
      <c r="J43">
        <f>IF($A43="","",SUMIFS(Schedule!$P:$P,Schedule!$Q:$Q,$B$2,Schedule!$D:$D,$A43,Schedule!$E:$E,$B43))</f>
        <v/>
      </c>
    </row>
    <row r="44">
      <c r="J44">
        <f>IF($A44="","",SUMIFS(Schedule!$P:$P,Schedule!$Q:$Q,$B$2,Schedule!$D:$D,$A44,Schedule!$E:$E,$B44))</f>
        <v/>
      </c>
    </row>
    <row r="45">
      <c r="J45">
        <f>IF($A45="","",SUMIFS(Schedule!$P:$P,Schedule!$Q:$Q,$B$2,Schedule!$D:$D,$A45,Schedule!$E:$E,$B45))</f>
        <v/>
      </c>
    </row>
    <row r="46">
      <c r="J46">
        <f>IF($A46="","",SUMIFS(Schedule!$P:$P,Schedule!$Q:$Q,$B$2,Schedule!$D:$D,$A46,Schedule!$E:$E,$B46))</f>
        <v/>
      </c>
    </row>
    <row r="47">
      <c r="J47">
        <f>IF($A47="","",SUMIFS(Schedule!$P:$P,Schedule!$Q:$Q,$B$2,Schedule!$D:$D,$A47,Schedule!$E:$E,$B47))</f>
        <v/>
      </c>
    </row>
    <row r="48">
      <c r="J48">
        <f>IF($A48="","",SUMIFS(Schedule!$P:$P,Schedule!$Q:$Q,$B$2,Schedule!$D:$D,$A48,Schedule!$E:$E,$B48))</f>
        <v/>
      </c>
    </row>
    <row r="49">
      <c r="J49">
        <f>IF($A49="","",SUMIFS(Schedule!$P:$P,Schedule!$Q:$Q,$B$2,Schedule!$D:$D,$A49,Schedule!$E:$E,$B49))</f>
        <v/>
      </c>
    </row>
    <row r="50">
      <c r="J50">
        <f>IF($A50="","",SUMIFS(Schedule!$P:$P,Schedule!$Q:$Q,$B$2,Schedule!$D:$D,$A50,Schedule!$E:$E,$B50))</f>
        <v/>
      </c>
    </row>
    <row r="51">
      <c r="J51">
        <f>IF($A51="","",SUMIFS(Schedule!$P:$P,Schedule!$Q:$Q,$B$2,Schedule!$D:$D,$A51,Schedule!$E:$E,$B51))</f>
        <v/>
      </c>
    </row>
    <row r="52">
      <c r="J52">
        <f>IF($A52="","",SUMIFS(Schedule!$P:$P,Schedule!$Q:$Q,$B$2,Schedule!$D:$D,$A52,Schedule!$E:$E,$B52))</f>
        <v/>
      </c>
    </row>
    <row r="53">
      <c r="J53">
        <f>IF($A53="","",SUMIFS(Schedule!$P:$P,Schedule!$Q:$Q,$B$2,Schedule!$D:$D,$A53,Schedule!$E:$E,$B53))</f>
        <v/>
      </c>
    </row>
    <row r="54">
      <c r="J54">
        <f>IF($A54="","",SUMIFS(Schedule!$P:$P,Schedule!$Q:$Q,$B$2,Schedule!$D:$D,$A54,Schedule!$E:$E,$B54))</f>
        <v/>
      </c>
    </row>
    <row r="55">
      <c r="J55">
        <f>IF($A55="","",SUMIFS(Schedule!$P:$P,Schedule!$Q:$Q,$B$2,Schedule!$D:$D,$A55,Schedule!$E:$E,$B55))</f>
        <v/>
      </c>
    </row>
    <row r="56">
      <c r="J56">
        <f>IF($A56="","",SUMIFS(Schedule!$P:$P,Schedule!$Q:$Q,$B$2,Schedule!$D:$D,$A56,Schedule!$E:$E,$B56))</f>
        <v/>
      </c>
    </row>
    <row r="57">
      <c r="J57">
        <f>IF($A57="","",SUMIFS(Schedule!$P:$P,Schedule!$Q:$Q,$B$2,Schedule!$D:$D,$A57,Schedule!$E:$E,$B57))</f>
        <v/>
      </c>
    </row>
    <row r="58">
      <c r="J58">
        <f>IF($A58="","",SUMIFS(Schedule!$P:$P,Schedule!$Q:$Q,$B$2,Schedule!$D:$D,$A58,Schedule!$E:$E,$B58))</f>
        <v/>
      </c>
    </row>
    <row r="59">
      <c r="J59">
        <f>IF($A59="","",SUMIFS(Schedule!$P:$P,Schedule!$Q:$Q,$B$2,Schedule!$D:$D,$A59,Schedule!$E:$E,$B59))</f>
        <v/>
      </c>
    </row>
    <row r="60">
      <c r="J60">
        <f>IF($A60="","",SUMIFS(Schedule!$P:$P,Schedule!$Q:$Q,$B$2,Schedule!$D:$D,$A60,Schedule!$E:$E,$B60))</f>
        <v/>
      </c>
    </row>
    <row r="61">
      <c r="J61">
        <f>IF($A61="","",SUMIFS(Schedule!$P:$P,Schedule!$Q:$Q,$B$2,Schedule!$D:$D,$A61,Schedule!$E:$E,$B61))</f>
        <v/>
      </c>
    </row>
    <row r="62">
      <c r="J62">
        <f>IF($A62="","",SUMIFS(Schedule!$P:$P,Schedule!$Q:$Q,$B$2,Schedule!$D:$D,$A62,Schedule!$E:$E,$B62))</f>
        <v/>
      </c>
    </row>
    <row r="63">
      <c r="J63">
        <f>IF($A63="","",SUMIFS(Schedule!$P:$P,Schedule!$Q:$Q,$B$2,Schedule!$D:$D,$A63,Schedule!$E:$E,$B63))</f>
        <v/>
      </c>
    </row>
    <row r="64">
      <c r="J64">
        <f>IF($A64="","",SUMIFS(Schedule!$P:$P,Schedule!$Q:$Q,$B$2,Schedule!$D:$D,$A64,Schedule!$E:$E,$B64))</f>
        <v/>
      </c>
    </row>
    <row r="65">
      <c r="J65">
        <f>IF($A65="","",SUMIFS(Schedule!$P:$P,Schedule!$Q:$Q,$B$2,Schedule!$D:$D,$A65,Schedule!$E:$E,$B65))</f>
        <v/>
      </c>
    </row>
    <row r="66">
      <c r="J66">
        <f>IF($A66="","",SUMIFS(Schedule!$P:$P,Schedule!$Q:$Q,$B$2,Schedule!$D:$D,$A66,Schedule!$E:$E,$B66))</f>
        <v/>
      </c>
    </row>
    <row r="67">
      <c r="J67">
        <f>IF($A67="","",SUMIFS(Schedule!$P:$P,Schedule!$Q:$Q,$B$2,Schedule!$D:$D,$A67,Schedule!$E:$E,$B67))</f>
        <v/>
      </c>
    </row>
    <row r="68">
      <c r="J68">
        <f>IF($A68="","",SUMIFS(Schedule!$P:$P,Schedule!$Q:$Q,$B$2,Schedule!$D:$D,$A68,Schedule!$E:$E,$B68))</f>
        <v/>
      </c>
    </row>
    <row r="69">
      <c r="J69">
        <f>IF($A69="","",SUMIFS(Schedule!$P:$P,Schedule!$Q:$Q,$B$2,Schedule!$D:$D,$A69,Schedule!$E:$E,$B69))</f>
        <v/>
      </c>
    </row>
    <row r="70">
      <c r="J70">
        <f>IF($A70="","",SUMIFS(Schedule!$P:$P,Schedule!$Q:$Q,$B$2,Schedule!$D:$D,$A70,Schedule!$E:$E,$B70))</f>
        <v/>
      </c>
    </row>
    <row r="71">
      <c r="J71">
        <f>IF($A71="","",SUMIFS(Schedule!$P:$P,Schedule!$Q:$Q,$B$2,Schedule!$D:$D,$A71,Schedule!$E:$E,$B71))</f>
        <v/>
      </c>
    </row>
    <row r="72">
      <c r="J72">
        <f>IF($A72="","",SUMIFS(Schedule!$P:$P,Schedule!$Q:$Q,$B$2,Schedule!$D:$D,$A72,Schedule!$E:$E,$B72))</f>
        <v/>
      </c>
    </row>
    <row r="73">
      <c r="J73">
        <f>IF($A73="","",SUMIFS(Schedule!$P:$P,Schedule!$Q:$Q,$B$2,Schedule!$D:$D,$A73,Schedule!$E:$E,$B73))</f>
        <v/>
      </c>
    </row>
    <row r="74">
      <c r="J74">
        <f>IF($A74="","",SUMIFS(Schedule!$P:$P,Schedule!$Q:$Q,$B$2,Schedule!$D:$D,$A74,Schedule!$E:$E,$B74))</f>
        <v/>
      </c>
    </row>
    <row r="75">
      <c r="J75">
        <f>IF($A75="","",SUMIFS(Schedule!$P:$P,Schedule!$Q:$Q,$B$2,Schedule!$D:$D,$A75,Schedule!$E:$E,$B75))</f>
        <v/>
      </c>
    </row>
    <row r="76">
      <c r="J76">
        <f>IF($A76="","",SUMIFS(Schedule!$P:$P,Schedule!$Q:$Q,$B$2,Schedule!$D:$D,$A76,Schedule!$E:$E,$B76))</f>
        <v/>
      </c>
    </row>
    <row r="77">
      <c r="J77">
        <f>IF($A77="","",SUMIFS(Schedule!$P:$P,Schedule!$Q:$Q,$B$2,Schedule!$D:$D,$A77,Schedule!$E:$E,$B77))</f>
        <v/>
      </c>
    </row>
    <row r="78">
      <c r="J78">
        <f>IF($A78="","",SUMIFS(Schedule!$P:$P,Schedule!$Q:$Q,$B$2,Schedule!$D:$D,$A78,Schedule!$E:$E,$B78))</f>
        <v/>
      </c>
    </row>
    <row r="79">
      <c r="J79">
        <f>IF($A79="","",SUMIFS(Schedule!$P:$P,Schedule!$Q:$Q,$B$2,Schedule!$D:$D,$A79,Schedule!$E:$E,$B79))</f>
        <v/>
      </c>
    </row>
    <row r="80">
      <c r="J80">
        <f>IF($A80="","",SUMIFS(Schedule!$P:$P,Schedule!$Q:$Q,$B$2,Schedule!$D:$D,$A80,Schedule!$E:$E,$B80))</f>
        <v/>
      </c>
    </row>
    <row r="81">
      <c r="J81">
        <f>IF($A81="","",SUMIFS(Schedule!$P:$P,Schedule!$Q:$Q,$B$2,Schedule!$D:$D,$A81,Schedule!$E:$E,$B81))</f>
        <v/>
      </c>
    </row>
    <row r="82">
      <c r="J82">
        <f>IF($A82="","",SUMIFS(Schedule!$P:$P,Schedule!$Q:$Q,$B$2,Schedule!$D:$D,$A82,Schedule!$E:$E,$B82))</f>
        <v/>
      </c>
    </row>
    <row r="83">
      <c r="J83">
        <f>IF($A83="","",SUMIFS(Schedule!$P:$P,Schedule!$Q:$Q,$B$2,Schedule!$D:$D,$A83,Schedule!$E:$E,$B83))</f>
        <v/>
      </c>
    </row>
    <row r="84">
      <c r="J84">
        <f>IF($A84="","",SUMIFS(Schedule!$P:$P,Schedule!$Q:$Q,$B$2,Schedule!$D:$D,$A84,Schedule!$E:$E,$B84))</f>
        <v/>
      </c>
    </row>
    <row r="85">
      <c r="J85">
        <f>IF($A85="","",SUMIFS(Schedule!$P:$P,Schedule!$Q:$Q,$B$2,Schedule!$D:$D,$A85,Schedule!$E:$E,$B85))</f>
        <v/>
      </c>
    </row>
    <row r="86">
      <c r="J86">
        <f>IF($A86="","",SUMIFS(Schedule!$P:$P,Schedule!$Q:$Q,$B$2,Schedule!$D:$D,$A86,Schedule!$E:$E,$B86))</f>
        <v/>
      </c>
    </row>
    <row r="87">
      <c r="J87">
        <f>IF($A87="","",SUMIFS(Schedule!$P:$P,Schedule!$Q:$Q,$B$2,Schedule!$D:$D,$A87,Schedule!$E:$E,$B87))</f>
        <v/>
      </c>
    </row>
    <row r="88">
      <c r="J88">
        <f>IF($A88="","",SUMIFS(Schedule!$P:$P,Schedule!$Q:$Q,$B$2,Schedule!$D:$D,$A88,Schedule!$E:$E,$B88))</f>
        <v/>
      </c>
    </row>
    <row r="89">
      <c r="J89">
        <f>IF($A89="","",SUMIFS(Schedule!$P:$P,Schedule!$Q:$Q,$B$2,Schedule!$D:$D,$A89,Schedule!$E:$E,$B89))</f>
        <v/>
      </c>
    </row>
    <row r="90">
      <c r="J90">
        <f>IF($A90="","",SUMIFS(Schedule!$P:$P,Schedule!$Q:$Q,$B$2,Schedule!$D:$D,$A90,Schedule!$E:$E,$B90))</f>
        <v/>
      </c>
    </row>
    <row r="91">
      <c r="J91">
        <f>IF($A91="","",SUMIFS(Schedule!$P:$P,Schedule!$Q:$Q,$B$2,Schedule!$D:$D,$A91,Schedule!$E:$E,$B91))</f>
        <v/>
      </c>
    </row>
    <row r="92">
      <c r="J92">
        <f>IF($A92="","",SUMIFS(Schedule!$P:$P,Schedule!$Q:$Q,$B$2,Schedule!$D:$D,$A92,Schedule!$E:$E,$B92))</f>
        <v/>
      </c>
    </row>
    <row r="93">
      <c r="J93">
        <f>IF($A93="","",SUMIFS(Schedule!$P:$P,Schedule!$Q:$Q,$B$2,Schedule!$D:$D,$A93,Schedule!$E:$E,$B93))</f>
        <v/>
      </c>
    </row>
    <row r="94">
      <c r="J94">
        <f>IF($A94="","",SUMIFS(Schedule!$P:$P,Schedule!$Q:$Q,$B$2,Schedule!$D:$D,$A94,Schedule!$E:$E,$B94))</f>
        <v/>
      </c>
    </row>
    <row r="95">
      <c r="J95">
        <f>IF($A95="","",SUMIFS(Schedule!$P:$P,Schedule!$Q:$Q,$B$2,Schedule!$D:$D,$A95,Schedule!$E:$E,$B95))</f>
        <v/>
      </c>
    </row>
    <row r="96">
      <c r="J96">
        <f>IF($A96="","",SUMIFS(Schedule!$P:$P,Schedule!$Q:$Q,$B$2,Schedule!$D:$D,$A96,Schedule!$E:$E,$B96))</f>
        <v/>
      </c>
    </row>
    <row r="97">
      <c r="J97">
        <f>IF($A97="","",SUMIFS(Schedule!$P:$P,Schedule!$Q:$Q,$B$2,Schedule!$D:$D,$A97,Schedule!$E:$E,$B97))</f>
        <v/>
      </c>
    </row>
    <row r="98">
      <c r="J98">
        <f>IF($A98="","",SUMIFS(Schedule!$P:$P,Schedule!$Q:$Q,$B$2,Schedule!$D:$D,$A98,Schedule!$E:$E,$B98))</f>
        <v/>
      </c>
    </row>
    <row r="99">
      <c r="J99">
        <f>IF($A99="","",SUMIFS(Schedule!$P:$P,Schedule!$Q:$Q,$B$2,Schedule!$D:$D,$A99,Schedule!$E:$E,$B99))</f>
        <v/>
      </c>
    </row>
    <row r="100">
      <c r="J100">
        <f>IF($A100="","",SUMIFS(Schedule!$P:$P,Schedule!$Q:$Q,$B$2,Schedule!$D:$D,$A100,Schedule!$E:$E,$B100))</f>
        <v/>
      </c>
    </row>
    <row r="101">
      <c r="J101">
        <f>IF($A101="","",SUMIFS(Schedule!$P:$P,Schedule!$Q:$Q,$B$2,Schedule!$D:$D,$A101,Schedule!$E:$E,$B101))</f>
        <v/>
      </c>
    </row>
    <row r="102">
      <c r="J102">
        <f>IF($A102="","",SUMIFS(Schedule!$P:$P,Schedule!$Q:$Q,$B$2,Schedule!$D:$D,$A102,Schedule!$E:$E,$B102))</f>
        <v/>
      </c>
    </row>
    <row r="103">
      <c r="J103">
        <f>IF($A103="","",SUMIFS(Schedule!$P:$P,Schedule!$Q:$Q,$B$2,Schedule!$D:$D,$A103,Schedule!$E:$E,$B103))</f>
        <v/>
      </c>
    </row>
    <row r="104">
      <c r="J104">
        <f>IF($A104="","",SUMIFS(Schedule!$P:$P,Schedule!$Q:$Q,$B$2,Schedule!$D:$D,$A104,Schedule!$E:$E,$B104))</f>
        <v/>
      </c>
    </row>
    <row r="105">
      <c r="J105">
        <f>IF($A105="","",SUMIFS(Schedule!$P:$P,Schedule!$Q:$Q,$B$2,Schedule!$D:$D,$A105,Schedule!$E:$E,$B105))</f>
        <v/>
      </c>
    </row>
    <row r="106">
      <c r="J106">
        <f>IF($A106="","",SUMIFS(Schedule!$P:$P,Schedule!$Q:$Q,$B$2,Schedule!$D:$D,$A106,Schedule!$E:$E,$B106))</f>
        <v/>
      </c>
    </row>
    <row r="107">
      <c r="J107">
        <f>IF($A107="","",SUMIFS(Schedule!$P:$P,Schedule!$Q:$Q,$B$2,Schedule!$D:$D,$A107,Schedule!$E:$E,$B107))</f>
        <v/>
      </c>
    </row>
    <row r="108">
      <c r="J108">
        <f>IF($A108="","",SUMIFS(Schedule!$P:$P,Schedule!$Q:$Q,$B$2,Schedule!$D:$D,$A108,Schedule!$E:$E,$B108))</f>
        <v/>
      </c>
    </row>
    <row r="109">
      <c r="J109">
        <f>IF($A109="","",SUMIFS(Schedule!$P:$P,Schedule!$Q:$Q,$B$2,Schedule!$D:$D,$A109,Schedule!$E:$E,$B109))</f>
        <v/>
      </c>
    </row>
    <row r="110">
      <c r="J110">
        <f>IF($A110="","",SUMIFS(Schedule!$P:$P,Schedule!$Q:$Q,$B$2,Schedule!$D:$D,$A110,Schedule!$E:$E,$B110))</f>
        <v/>
      </c>
    </row>
    <row r="111">
      <c r="J111">
        <f>IF($A111="","",SUMIFS(Schedule!$P:$P,Schedule!$Q:$Q,$B$2,Schedule!$D:$D,$A111,Schedule!$E:$E,$B111))</f>
        <v/>
      </c>
    </row>
    <row r="112">
      <c r="J112">
        <f>IF($A112="","",SUMIFS(Schedule!$P:$P,Schedule!$Q:$Q,$B$2,Schedule!$D:$D,$A112,Schedule!$E:$E,$B112))</f>
        <v/>
      </c>
    </row>
    <row r="113">
      <c r="J113">
        <f>IF($A113="","",SUMIFS(Schedule!$P:$P,Schedule!$Q:$Q,$B$2,Schedule!$D:$D,$A113,Schedule!$E:$E,$B113))</f>
        <v/>
      </c>
    </row>
    <row r="114">
      <c r="J114">
        <f>IF($A114="","",SUMIFS(Schedule!$P:$P,Schedule!$Q:$Q,$B$2,Schedule!$D:$D,$A114,Schedule!$E:$E,$B114))</f>
        <v/>
      </c>
    </row>
    <row r="115">
      <c r="J115">
        <f>IF($A115="","",SUMIFS(Schedule!$P:$P,Schedule!$Q:$Q,$B$2,Schedule!$D:$D,$A115,Schedule!$E:$E,$B115))</f>
        <v/>
      </c>
    </row>
    <row r="116">
      <c r="J116">
        <f>IF($A116="","",SUMIFS(Schedule!$P:$P,Schedule!$Q:$Q,$B$2,Schedule!$D:$D,$A116,Schedule!$E:$E,$B116))</f>
        <v/>
      </c>
    </row>
    <row r="117">
      <c r="J117">
        <f>IF($A117="","",SUMIFS(Schedule!$P:$P,Schedule!$Q:$Q,$B$2,Schedule!$D:$D,$A117,Schedule!$E:$E,$B117))</f>
        <v/>
      </c>
    </row>
    <row r="118">
      <c r="J118">
        <f>IF($A118="","",SUMIFS(Schedule!$P:$P,Schedule!$Q:$Q,$B$2,Schedule!$D:$D,$A118,Schedule!$E:$E,$B118))</f>
        <v/>
      </c>
    </row>
    <row r="119">
      <c r="J119">
        <f>IF($A119="","",SUMIFS(Schedule!$P:$P,Schedule!$Q:$Q,$B$2,Schedule!$D:$D,$A119,Schedule!$E:$E,$B119))</f>
        <v/>
      </c>
    </row>
    <row r="120">
      <c r="J120">
        <f>IF($A120="","",SUMIFS(Schedule!$P:$P,Schedule!$Q:$Q,$B$2,Schedule!$D:$D,$A120,Schedule!$E:$E,$B120))</f>
        <v/>
      </c>
    </row>
    <row r="121">
      <c r="J121">
        <f>IF($A121="","",SUMIFS(Schedule!$P:$P,Schedule!$Q:$Q,$B$2,Schedule!$D:$D,$A121,Schedule!$E:$E,$B121))</f>
        <v/>
      </c>
    </row>
    <row r="122">
      <c r="J122">
        <f>IF($A122="","",SUMIFS(Schedule!$P:$P,Schedule!$Q:$Q,$B$2,Schedule!$D:$D,$A122,Schedule!$E:$E,$B122))</f>
        <v/>
      </c>
    </row>
    <row r="123">
      <c r="J123">
        <f>IF($A123="","",SUMIFS(Schedule!$P:$P,Schedule!$Q:$Q,$B$2,Schedule!$D:$D,$A123,Schedule!$E:$E,$B123))</f>
        <v/>
      </c>
    </row>
    <row r="124">
      <c r="J124">
        <f>IF($A124="","",SUMIFS(Schedule!$P:$P,Schedule!$Q:$Q,$B$2,Schedule!$D:$D,$A124,Schedule!$E:$E,$B124))</f>
        <v/>
      </c>
    </row>
    <row r="125">
      <c r="J125">
        <f>IF($A125="","",SUMIFS(Schedule!$P:$P,Schedule!$Q:$Q,$B$2,Schedule!$D:$D,$A125,Schedule!$E:$E,$B125))</f>
        <v/>
      </c>
    </row>
    <row r="126">
      <c r="J126">
        <f>IF($A126="","",SUMIFS(Schedule!$P:$P,Schedule!$Q:$Q,$B$2,Schedule!$D:$D,$A126,Schedule!$E:$E,$B126))</f>
        <v/>
      </c>
    </row>
    <row r="127">
      <c r="J127">
        <f>IF($A127="","",SUMIFS(Schedule!$P:$P,Schedule!$Q:$Q,$B$2,Schedule!$D:$D,$A127,Schedule!$E:$E,$B127))</f>
        <v/>
      </c>
    </row>
    <row r="128">
      <c r="J128">
        <f>IF($A128="","",SUMIFS(Schedule!$P:$P,Schedule!$Q:$Q,$B$2,Schedule!$D:$D,$A128,Schedule!$E:$E,$B128))</f>
        <v/>
      </c>
    </row>
    <row r="129">
      <c r="J129">
        <f>IF($A129="","",SUMIFS(Schedule!$P:$P,Schedule!$Q:$Q,$B$2,Schedule!$D:$D,$A129,Schedule!$E:$E,$B129))</f>
        <v/>
      </c>
    </row>
    <row r="130">
      <c r="J130">
        <f>IF($A130="","",SUMIFS(Schedule!$P:$P,Schedule!$Q:$Q,$B$2,Schedule!$D:$D,$A130,Schedule!$E:$E,$B130))</f>
        <v/>
      </c>
    </row>
    <row r="131">
      <c r="J131">
        <f>IF($A131="","",SUMIFS(Schedule!$P:$P,Schedule!$Q:$Q,$B$2,Schedule!$D:$D,$A131,Schedule!$E:$E,$B131))</f>
        <v/>
      </c>
    </row>
    <row r="132">
      <c r="J132">
        <f>IF($A132="","",SUMIFS(Schedule!$P:$P,Schedule!$Q:$Q,$B$2,Schedule!$D:$D,$A132,Schedule!$E:$E,$B132))</f>
        <v/>
      </c>
    </row>
    <row r="133">
      <c r="J133">
        <f>IF($A133="","",SUMIFS(Schedule!$P:$P,Schedule!$Q:$Q,$B$2,Schedule!$D:$D,$A133,Schedule!$E:$E,$B133))</f>
        <v/>
      </c>
    </row>
    <row r="134">
      <c r="J134">
        <f>IF($A134="","",SUMIFS(Schedule!$P:$P,Schedule!$Q:$Q,$B$2,Schedule!$D:$D,$A134,Schedule!$E:$E,$B134))</f>
        <v/>
      </c>
    </row>
    <row r="135">
      <c r="J135">
        <f>IF($A135="","",SUMIFS(Schedule!$P:$P,Schedule!$Q:$Q,$B$2,Schedule!$D:$D,$A135,Schedule!$E:$E,$B135))</f>
        <v/>
      </c>
    </row>
    <row r="136">
      <c r="J136">
        <f>IF($A136="","",SUMIFS(Schedule!$P:$P,Schedule!$Q:$Q,$B$2,Schedule!$D:$D,$A136,Schedule!$E:$E,$B136))</f>
        <v/>
      </c>
    </row>
    <row r="137">
      <c r="J137">
        <f>IF($A137="","",SUMIFS(Schedule!$P:$P,Schedule!$Q:$Q,$B$2,Schedule!$D:$D,$A137,Schedule!$E:$E,$B137))</f>
        <v/>
      </c>
    </row>
    <row r="138">
      <c r="J138">
        <f>IF($A138="","",SUMIFS(Schedule!$P:$P,Schedule!$Q:$Q,$B$2,Schedule!$D:$D,$A138,Schedule!$E:$E,$B138))</f>
        <v/>
      </c>
    </row>
    <row r="139">
      <c r="J139">
        <f>IF($A139="","",SUMIFS(Schedule!$P:$P,Schedule!$Q:$Q,$B$2,Schedule!$D:$D,$A139,Schedule!$E:$E,$B139))</f>
        <v/>
      </c>
    </row>
    <row r="140">
      <c r="J140">
        <f>IF($A140="","",SUMIFS(Schedule!$P:$P,Schedule!$Q:$Q,$B$2,Schedule!$D:$D,$A140,Schedule!$E:$E,$B140))</f>
        <v/>
      </c>
    </row>
    <row r="141">
      <c r="J141">
        <f>IF($A141="","",SUMIFS(Schedule!$P:$P,Schedule!$Q:$Q,$B$2,Schedule!$D:$D,$A141,Schedule!$E:$E,$B141))</f>
        <v/>
      </c>
    </row>
    <row r="142">
      <c r="J142">
        <f>IF($A142="","",SUMIFS(Schedule!$P:$P,Schedule!$Q:$Q,$B$2,Schedule!$D:$D,$A142,Schedule!$E:$E,$B142))</f>
        <v/>
      </c>
    </row>
    <row r="143">
      <c r="J143">
        <f>IF($A143="","",SUMIFS(Schedule!$P:$P,Schedule!$Q:$Q,$B$2,Schedule!$D:$D,$A143,Schedule!$E:$E,$B143))</f>
        <v/>
      </c>
    </row>
    <row r="144">
      <c r="J144">
        <f>IF($A144="","",SUMIFS(Schedule!$P:$P,Schedule!$Q:$Q,$B$2,Schedule!$D:$D,$A144,Schedule!$E:$E,$B144))</f>
        <v/>
      </c>
    </row>
    <row r="145">
      <c r="J145">
        <f>IF($A145="","",SUMIFS(Schedule!$P:$P,Schedule!$Q:$Q,$B$2,Schedule!$D:$D,$A145,Schedule!$E:$E,$B145))</f>
        <v/>
      </c>
    </row>
    <row r="146">
      <c r="J146">
        <f>IF($A146="","",SUMIFS(Schedule!$P:$P,Schedule!$Q:$Q,$B$2,Schedule!$D:$D,$A146,Schedule!$E:$E,$B146))</f>
        <v/>
      </c>
    </row>
    <row r="147">
      <c r="J147">
        <f>IF($A147="","",SUMIFS(Schedule!$P:$P,Schedule!$Q:$Q,$B$2,Schedule!$D:$D,$A147,Schedule!$E:$E,$B147))</f>
        <v/>
      </c>
    </row>
    <row r="148">
      <c r="J148">
        <f>IF($A148="","",SUMIFS(Schedule!$P:$P,Schedule!$Q:$Q,$B$2,Schedule!$D:$D,$A148,Schedule!$E:$E,$B148))</f>
        <v/>
      </c>
    </row>
    <row r="149">
      <c r="J149">
        <f>IF($A149="","",SUMIFS(Schedule!$P:$P,Schedule!$Q:$Q,$B$2,Schedule!$D:$D,$A149,Schedule!$E:$E,$B149))</f>
        <v/>
      </c>
    </row>
    <row r="150">
      <c r="J150">
        <f>IF($A150="","",SUMIFS(Schedule!$P:$P,Schedule!$Q:$Q,$B$2,Schedule!$D:$D,$A150,Schedule!$E:$E,$B150))</f>
        <v/>
      </c>
    </row>
    <row r="151">
      <c r="J151">
        <f>IF($A151="","",SUMIFS(Schedule!$P:$P,Schedule!$Q:$Q,$B$2,Schedule!$D:$D,$A151,Schedule!$E:$E,$B151))</f>
        <v/>
      </c>
    </row>
    <row r="152">
      <c r="J152">
        <f>IF($A152="","",SUMIFS(Schedule!$P:$P,Schedule!$Q:$Q,$B$2,Schedule!$D:$D,$A152,Schedule!$E:$E,$B152))</f>
        <v/>
      </c>
    </row>
    <row r="153">
      <c r="J153">
        <f>IF($A153="","",SUMIFS(Schedule!$P:$P,Schedule!$Q:$Q,$B$2,Schedule!$D:$D,$A153,Schedule!$E:$E,$B153))</f>
        <v/>
      </c>
    </row>
    <row r="154">
      <c r="J154">
        <f>IF($A154="","",SUMIFS(Schedule!$P:$P,Schedule!$Q:$Q,$B$2,Schedule!$D:$D,$A154,Schedule!$E:$E,$B154))</f>
        <v/>
      </c>
    </row>
    <row r="155">
      <c r="J155">
        <f>IF($A155="","",SUMIFS(Schedule!$P:$P,Schedule!$Q:$Q,$B$2,Schedule!$D:$D,$A155,Schedule!$E:$E,$B155))</f>
        <v/>
      </c>
    </row>
    <row r="156">
      <c r="J156">
        <f>IF($A156="","",SUMIFS(Schedule!$P:$P,Schedule!$Q:$Q,$B$2,Schedule!$D:$D,$A156,Schedule!$E:$E,$B156))</f>
        <v/>
      </c>
    </row>
    <row r="157">
      <c r="J157">
        <f>IF($A157="","",SUMIFS(Schedule!$P:$P,Schedule!$Q:$Q,$B$2,Schedule!$D:$D,$A157,Schedule!$E:$E,$B157))</f>
        <v/>
      </c>
    </row>
    <row r="158">
      <c r="J158">
        <f>IF($A158="","",SUMIFS(Schedule!$P:$P,Schedule!$Q:$Q,$B$2,Schedule!$D:$D,$A158,Schedule!$E:$E,$B158))</f>
        <v/>
      </c>
    </row>
    <row r="159">
      <c r="J159">
        <f>IF($A159="","",SUMIFS(Schedule!$P:$P,Schedule!$Q:$Q,$B$2,Schedule!$D:$D,$A159,Schedule!$E:$E,$B159))</f>
        <v/>
      </c>
    </row>
    <row r="160">
      <c r="J160">
        <f>IF($A160="","",SUMIFS(Schedule!$P:$P,Schedule!$Q:$Q,$B$2,Schedule!$D:$D,$A160,Schedule!$E:$E,$B160))</f>
        <v/>
      </c>
    </row>
    <row r="161">
      <c r="J161">
        <f>IF($A161="","",SUMIFS(Schedule!$P:$P,Schedule!$Q:$Q,$B$2,Schedule!$D:$D,$A161,Schedule!$E:$E,$B161))</f>
        <v/>
      </c>
    </row>
    <row r="162">
      <c r="J162">
        <f>IF($A162="","",SUMIFS(Schedule!$P:$P,Schedule!$Q:$Q,$B$2,Schedule!$D:$D,$A162,Schedule!$E:$E,$B162))</f>
        <v/>
      </c>
    </row>
    <row r="163">
      <c r="J163">
        <f>IF($A163="","",SUMIFS(Schedule!$P:$P,Schedule!$Q:$Q,$B$2,Schedule!$D:$D,$A163,Schedule!$E:$E,$B163))</f>
        <v/>
      </c>
    </row>
    <row r="164">
      <c r="J164">
        <f>IF($A164="","",SUMIFS(Schedule!$P:$P,Schedule!$Q:$Q,$B$2,Schedule!$D:$D,$A164,Schedule!$E:$E,$B164))</f>
        <v/>
      </c>
    </row>
    <row r="165">
      <c r="J165">
        <f>IF($A165="","",SUMIFS(Schedule!$P:$P,Schedule!$Q:$Q,$B$2,Schedule!$D:$D,$A165,Schedule!$E:$E,$B165))</f>
        <v/>
      </c>
    </row>
    <row r="166">
      <c r="J166">
        <f>IF($A166="","",SUMIFS(Schedule!$P:$P,Schedule!$Q:$Q,$B$2,Schedule!$D:$D,$A166,Schedule!$E:$E,$B166))</f>
        <v/>
      </c>
    </row>
    <row r="167">
      <c r="J167">
        <f>IF($A167="","",SUMIFS(Schedule!$P:$P,Schedule!$Q:$Q,$B$2,Schedule!$D:$D,$A167,Schedule!$E:$E,$B167))</f>
        <v/>
      </c>
    </row>
    <row r="168">
      <c r="J168">
        <f>IF($A168="","",SUMIFS(Schedule!$P:$P,Schedule!$Q:$Q,$B$2,Schedule!$D:$D,$A168,Schedule!$E:$E,$B168))</f>
        <v/>
      </c>
    </row>
    <row r="169">
      <c r="J169">
        <f>IF($A169="","",SUMIFS(Schedule!$P:$P,Schedule!$Q:$Q,$B$2,Schedule!$D:$D,$A169,Schedule!$E:$E,$B169))</f>
        <v/>
      </c>
    </row>
    <row r="170">
      <c r="J170">
        <f>IF($A170="","",SUMIFS(Schedule!$P:$P,Schedule!$Q:$Q,$B$2,Schedule!$D:$D,$A170,Schedule!$E:$E,$B170))</f>
        <v/>
      </c>
    </row>
    <row r="171">
      <c r="J171">
        <f>IF($A171="","",SUMIFS(Schedule!$P:$P,Schedule!$Q:$Q,$B$2,Schedule!$D:$D,$A171,Schedule!$E:$E,$B171))</f>
        <v/>
      </c>
    </row>
    <row r="172">
      <c r="J172">
        <f>IF($A172="","",SUMIFS(Schedule!$P:$P,Schedule!$Q:$Q,$B$2,Schedule!$D:$D,$A172,Schedule!$E:$E,$B172))</f>
        <v/>
      </c>
    </row>
    <row r="173">
      <c r="J173">
        <f>IF($A173="","",SUMIFS(Schedule!$P:$P,Schedule!$Q:$Q,$B$2,Schedule!$D:$D,$A173,Schedule!$E:$E,$B173))</f>
        <v/>
      </c>
    </row>
    <row r="174">
      <c r="J174">
        <f>IF($A174="","",SUMIFS(Schedule!$P:$P,Schedule!$Q:$Q,$B$2,Schedule!$D:$D,$A174,Schedule!$E:$E,$B174))</f>
        <v/>
      </c>
    </row>
    <row r="175">
      <c r="J175">
        <f>IF($A175="","",SUMIFS(Schedule!$P:$P,Schedule!$Q:$Q,$B$2,Schedule!$D:$D,$A175,Schedule!$E:$E,$B175))</f>
        <v/>
      </c>
    </row>
    <row r="176">
      <c r="J176">
        <f>IF($A176="","",SUMIFS(Schedule!$P:$P,Schedule!$Q:$Q,$B$2,Schedule!$D:$D,$A176,Schedule!$E:$E,$B176))</f>
        <v/>
      </c>
    </row>
    <row r="177">
      <c r="J177">
        <f>IF($A177="","",SUMIFS(Schedule!$P:$P,Schedule!$Q:$Q,$B$2,Schedule!$D:$D,$A177,Schedule!$E:$E,$B177))</f>
        <v/>
      </c>
    </row>
    <row r="178">
      <c r="J178">
        <f>IF($A178="","",SUMIFS(Schedule!$P:$P,Schedule!$Q:$Q,$B$2,Schedule!$D:$D,$A178,Schedule!$E:$E,$B178))</f>
        <v/>
      </c>
    </row>
    <row r="179">
      <c r="J179">
        <f>IF($A179="","",SUMIFS(Schedule!$P:$P,Schedule!$Q:$Q,$B$2,Schedule!$D:$D,$A179,Schedule!$E:$E,$B179))</f>
        <v/>
      </c>
    </row>
    <row r="180">
      <c r="J180">
        <f>IF($A180="","",SUMIFS(Schedule!$P:$P,Schedule!$Q:$Q,$B$2,Schedule!$D:$D,$A180,Schedule!$E:$E,$B180))</f>
        <v/>
      </c>
    </row>
    <row r="181">
      <c r="J181">
        <f>IF($A181="","",SUMIFS(Schedule!$P:$P,Schedule!$Q:$Q,$B$2,Schedule!$D:$D,$A181,Schedule!$E:$E,$B181))</f>
        <v/>
      </c>
    </row>
    <row r="182">
      <c r="J182">
        <f>IF($A182="","",SUMIFS(Schedule!$P:$P,Schedule!$Q:$Q,$B$2,Schedule!$D:$D,$A182,Schedule!$E:$E,$B182))</f>
        <v/>
      </c>
    </row>
    <row r="183">
      <c r="J183">
        <f>IF($A183="","",SUMIFS(Schedule!$P:$P,Schedule!$Q:$Q,$B$2,Schedule!$D:$D,$A183,Schedule!$E:$E,$B183))</f>
        <v/>
      </c>
    </row>
    <row r="184">
      <c r="J184">
        <f>IF($A184="","",SUMIFS(Schedule!$P:$P,Schedule!$Q:$Q,$B$2,Schedule!$D:$D,$A184,Schedule!$E:$E,$B184))</f>
        <v/>
      </c>
    </row>
    <row r="185">
      <c r="J185">
        <f>IF($A185="","",SUMIFS(Schedule!$P:$P,Schedule!$Q:$Q,$B$2,Schedule!$D:$D,$A185,Schedule!$E:$E,$B185))</f>
        <v/>
      </c>
    </row>
    <row r="186">
      <c r="J186">
        <f>IF($A186="","",SUMIFS(Schedule!$P:$P,Schedule!$Q:$Q,$B$2,Schedule!$D:$D,$A186,Schedule!$E:$E,$B186))</f>
        <v/>
      </c>
    </row>
    <row r="187">
      <c r="J187">
        <f>IF($A187="","",SUMIFS(Schedule!$P:$P,Schedule!$Q:$Q,$B$2,Schedule!$D:$D,$A187,Schedule!$E:$E,$B187))</f>
        <v/>
      </c>
    </row>
    <row r="188">
      <c r="J188">
        <f>IF($A188="","",SUMIFS(Schedule!$P:$P,Schedule!$Q:$Q,$B$2,Schedule!$D:$D,$A188,Schedule!$E:$E,$B188))</f>
        <v/>
      </c>
    </row>
    <row r="189">
      <c r="J189">
        <f>IF($A189="","",SUMIFS(Schedule!$P:$P,Schedule!$Q:$Q,$B$2,Schedule!$D:$D,$A189,Schedule!$E:$E,$B189))</f>
        <v/>
      </c>
    </row>
    <row r="190">
      <c r="J190">
        <f>IF($A190="","",SUMIFS(Schedule!$P:$P,Schedule!$Q:$Q,$B$2,Schedule!$D:$D,$A190,Schedule!$E:$E,$B190))</f>
        <v/>
      </c>
    </row>
    <row r="191">
      <c r="J191">
        <f>IF($A191="","",SUMIFS(Schedule!$P:$P,Schedule!$Q:$Q,$B$2,Schedule!$D:$D,$A191,Schedule!$E:$E,$B191))</f>
        <v/>
      </c>
    </row>
    <row r="192">
      <c r="J192">
        <f>IF($A192="","",SUMIFS(Schedule!$P:$P,Schedule!$Q:$Q,$B$2,Schedule!$D:$D,$A192,Schedule!$E:$E,$B192))</f>
        <v/>
      </c>
    </row>
    <row r="193">
      <c r="J193">
        <f>IF($A193="","",SUMIFS(Schedule!$P:$P,Schedule!$Q:$Q,$B$2,Schedule!$D:$D,$A193,Schedule!$E:$E,$B193))</f>
        <v/>
      </c>
    </row>
    <row r="194">
      <c r="J194">
        <f>IF($A194="","",SUMIFS(Schedule!$P:$P,Schedule!$Q:$Q,$B$2,Schedule!$D:$D,$A194,Schedule!$E:$E,$B194))</f>
        <v/>
      </c>
    </row>
    <row r="195">
      <c r="J195">
        <f>IF($A195="","",SUMIFS(Schedule!$P:$P,Schedule!$Q:$Q,$B$2,Schedule!$D:$D,$A195,Schedule!$E:$E,$B195))</f>
        <v/>
      </c>
    </row>
    <row r="196">
      <c r="J196">
        <f>IF($A196="","",SUMIFS(Schedule!$P:$P,Schedule!$Q:$Q,$B$2,Schedule!$D:$D,$A196,Schedule!$E:$E,$B196))</f>
        <v/>
      </c>
    </row>
    <row r="197">
      <c r="J197">
        <f>IF($A197="","",SUMIFS(Schedule!$P:$P,Schedule!$Q:$Q,$B$2,Schedule!$D:$D,$A197,Schedule!$E:$E,$B197))</f>
        <v/>
      </c>
    </row>
    <row r="198">
      <c r="J198">
        <f>IF($A198="","",SUMIFS(Schedule!$P:$P,Schedule!$Q:$Q,$B$2,Schedule!$D:$D,$A198,Schedule!$E:$E,$B198))</f>
        <v/>
      </c>
    </row>
    <row r="199">
      <c r="J199">
        <f>IF($A199="","",SUMIFS(Schedule!$P:$P,Schedule!$Q:$Q,$B$2,Schedule!$D:$D,$A199,Schedule!$E:$E,$B199))</f>
        <v/>
      </c>
    </row>
    <row r="200">
      <c r="J200">
        <f>IF($A200="","",SUMIFS(Schedule!$P:$P,Schedule!$Q:$Q,$B$2,Schedule!$D:$D,$A200,Schedule!$E:$E,$B200))</f>
        <v/>
      </c>
    </row>
    <row r="201">
      <c r="J201">
        <f>IF($A201="","",SUMIFS(Schedule!$P:$P,Schedule!$Q:$Q,$B$2,Schedule!$D:$D,$A201,Schedule!$E:$E,$B201))</f>
        <v/>
      </c>
    </row>
    <row r="202">
      <c r="J202">
        <f>IF($A202="","",SUMIFS(Schedule!$P:$P,Schedule!$Q:$Q,$B$2,Schedule!$D:$D,$A202,Schedule!$E:$E,$B202))</f>
        <v/>
      </c>
    </row>
    <row r="203">
      <c r="J203">
        <f>IF($A203="","",SUMIFS(Schedule!$P:$P,Schedule!$Q:$Q,$B$2,Schedule!$D:$D,$A203,Schedule!$E:$E,$B203))</f>
        <v/>
      </c>
    </row>
    <row r="204">
      <c r="J204">
        <f>IF($A204="","",SUMIFS(Schedule!$P:$P,Schedule!$Q:$Q,$B$2,Schedule!$D:$D,$A204,Schedule!$E:$E,$B204))</f>
        <v/>
      </c>
    </row>
    <row r="205">
      <c r="J205">
        <f>IF($A205="","",SUMIFS(Schedule!$P:$P,Schedule!$Q:$Q,$B$2,Schedule!$D:$D,$A205,Schedule!$E:$E,$B205))</f>
        <v/>
      </c>
    </row>
    <row r="206">
      <c r="J206">
        <f>IF($A206="","",SUMIFS(Schedule!$P:$P,Schedule!$Q:$Q,$B$2,Schedule!$D:$D,$A206,Schedule!$E:$E,$B206))</f>
        <v/>
      </c>
    </row>
    <row r="207">
      <c r="J207">
        <f>IF($A207="","",SUMIFS(Schedule!$P:$P,Schedule!$Q:$Q,$B$2,Schedule!$D:$D,$A207,Schedule!$E:$E,$B207))</f>
        <v/>
      </c>
    </row>
    <row r="208">
      <c r="J208">
        <f>IF($A208="","",SUMIFS(Schedule!$P:$P,Schedule!$Q:$Q,$B$2,Schedule!$D:$D,$A208,Schedule!$E:$E,$B208))</f>
        <v/>
      </c>
    </row>
    <row r="209">
      <c r="J209">
        <f>IF($A209="","",SUMIFS(Schedule!$P:$P,Schedule!$Q:$Q,$B$2,Schedule!$D:$D,$A209,Schedule!$E:$E,$B209))</f>
        <v/>
      </c>
    </row>
    <row r="210">
      <c r="J210">
        <f>IF($A210="","",SUMIFS(Schedule!$P:$P,Schedule!$Q:$Q,$B$2,Schedule!$D:$D,$A210,Schedule!$E:$E,$B210))</f>
        <v/>
      </c>
    </row>
    <row r="211">
      <c r="J211">
        <f>IF($A211="","",SUMIFS(Schedule!$P:$P,Schedule!$Q:$Q,$B$2,Schedule!$D:$D,$A211,Schedule!$E:$E,$B211))</f>
        <v/>
      </c>
    </row>
    <row r="212">
      <c r="J212">
        <f>IF($A212="","",SUMIFS(Schedule!$P:$P,Schedule!$Q:$Q,$B$2,Schedule!$D:$D,$A212,Schedule!$E:$E,$B212))</f>
        <v/>
      </c>
    </row>
    <row r="213">
      <c r="J213">
        <f>IF($A213="","",SUMIFS(Schedule!$P:$P,Schedule!$Q:$Q,$B$2,Schedule!$D:$D,$A213,Schedule!$E:$E,$B213))</f>
        <v/>
      </c>
    </row>
    <row r="214">
      <c r="J214">
        <f>IF($A214="","",SUMIFS(Schedule!$P:$P,Schedule!$Q:$Q,$B$2,Schedule!$D:$D,$A214,Schedule!$E:$E,$B214))</f>
        <v/>
      </c>
    </row>
    <row r="215">
      <c r="J215">
        <f>IF($A215="","",SUMIFS(Schedule!$P:$P,Schedule!$Q:$Q,$B$2,Schedule!$D:$D,$A215,Schedule!$E:$E,$B215))</f>
        <v/>
      </c>
    </row>
    <row r="216">
      <c r="J216">
        <f>IF($A216="","",SUMIFS(Schedule!$P:$P,Schedule!$Q:$Q,$B$2,Schedule!$D:$D,$A216,Schedule!$E:$E,$B216))</f>
        <v/>
      </c>
    </row>
    <row r="217">
      <c r="J217">
        <f>IF($A217="","",SUMIFS(Schedule!$P:$P,Schedule!$Q:$Q,$B$2,Schedule!$D:$D,$A217,Schedule!$E:$E,$B217))</f>
        <v/>
      </c>
    </row>
    <row r="218">
      <c r="J218">
        <f>IF($A218="","",SUMIFS(Schedule!$P:$P,Schedule!$Q:$Q,$B$2,Schedule!$D:$D,$A218,Schedule!$E:$E,$B218))</f>
        <v/>
      </c>
    </row>
    <row r="219">
      <c r="J219">
        <f>IF($A219="","",SUMIFS(Schedule!$P:$P,Schedule!$Q:$Q,$B$2,Schedule!$D:$D,$A219,Schedule!$E:$E,$B219))</f>
        <v/>
      </c>
    </row>
    <row r="220">
      <c r="J220">
        <f>IF($A220="","",SUMIFS(Schedule!$P:$P,Schedule!$Q:$Q,$B$2,Schedule!$D:$D,$A220,Schedule!$E:$E,$B220))</f>
        <v/>
      </c>
    </row>
    <row r="221">
      <c r="J221">
        <f>IF($A221="","",SUMIFS(Schedule!$P:$P,Schedule!$Q:$Q,$B$2,Schedule!$D:$D,$A221,Schedule!$E:$E,$B221))</f>
        <v/>
      </c>
    </row>
    <row r="222">
      <c r="J222">
        <f>IF($A222="","",SUMIFS(Schedule!$P:$P,Schedule!$Q:$Q,$B$2,Schedule!$D:$D,$A222,Schedule!$E:$E,$B222))</f>
        <v/>
      </c>
    </row>
    <row r="223">
      <c r="J223">
        <f>IF($A223="","",SUMIFS(Schedule!$P:$P,Schedule!$Q:$Q,$B$2,Schedule!$D:$D,$A223,Schedule!$E:$E,$B223))</f>
        <v/>
      </c>
    </row>
    <row r="224">
      <c r="J224">
        <f>IF($A224="","",SUMIFS(Schedule!$P:$P,Schedule!$Q:$Q,$B$2,Schedule!$D:$D,$A224,Schedule!$E:$E,$B224))</f>
        <v/>
      </c>
    </row>
    <row r="225">
      <c r="J225">
        <f>IF($A225="","",SUMIFS(Schedule!$P:$P,Schedule!$Q:$Q,$B$2,Schedule!$D:$D,$A225,Schedule!$E:$E,$B225))</f>
        <v/>
      </c>
    </row>
    <row r="226">
      <c r="J226">
        <f>IF($A226="","",SUMIFS(Schedule!$P:$P,Schedule!$Q:$Q,$B$2,Schedule!$D:$D,$A226,Schedule!$E:$E,$B226))</f>
        <v/>
      </c>
    </row>
    <row r="227">
      <c r="J227">
        <f>IF($A227="","",SUMIFS(Schedule!$P:$P,Schedule!$Q:$Q,$B$2,Schedule!$D:$D,$A227,Schedule!$E:$E,$B227))</f>
        <v/>
      </c>
    </row>
    <row r="228">
      <c r="J228">
        <f>IF($A228="","",SUMIFS(Schedule!$P:$P,Schedule!$Q:$Q,$B$2,Schedule!$D:$D,$A228,Schedule!$E:$E,$B228))</f>
        <v/>
      </c>
    </row>
    <row r="229">
      <c r="J229">
        <f>IF($A229="","",SUMIFS(Schedule!$P:$P,Schedule!$Q:$Q,$B$2,Schedule!$D:$D,$A229,Schedule!$E:$E,$B229))</f>
        <v/>
      </c>
    </row>
    <row r="230">
      <c r="J230">
        <f>IF($A230="","",SUMIFS(Schedule!$P:$P,Schedule!$Q:$Q,$B$2,Schedule!$D:$D,$A230,Schedule!$E:$E,$B230))</f>
        <v/>
      </c>
    </row>
    <row r="231">
      <c r="J231">
        <f>IF($A231="","",SUMIFS(Schedule!$P:$P,Schedule!$Q:$Q,$B$2,Schedule!$D:$D,$A231,Schedule!$E:$E,$B231))</f>
        <v/>
      </c>
    </row>
    <row r="232">
      <c r="J232">
        <f>IF($A232="","",SUMIFS(Schedule!$P:$P,Schedule!$Q:$Q,$B$2,Schedule!$D:$D,$A232,Schedule!$E:$E,$B232))</f>
        <v/>
      </c>
    </row>
    <row r="233">
      <c r="J233">
        <f>IF($A233="","",SUMIFS(Schedule!$P:$P,Schedule!$Q:$Q,$B$2,Schedule!$D:$D,$A233,Schedule!$E:$E,$B233))</f>
        <v/>
      </c>
    </row>
    <row r="234">
      <c r="J234">
        <f>IF($A234="","",SUMIFS(Schedule!$P:$P,Schedule!$Q:$Q,$B$2,Schedule!$D:$D,$A234,Schedule!$E:$E,$B234))</f>
        <v/>
      </c>
    </row>
    <row r="235">
      <c r="J235">
        <f>IF($A235="","",SUMIFS(Schedule!$P:$P,Schedule!$Q:$Q,$B$2,Schedule!$D:$D,$A235,Schedule!$E:$E,$B235))</f>
        <v/>
      </c>
    </row>
    <row r="236">
      <c r="J236">
        <f>IF($A236="","",SUMIFS(Schedule!$P:$P,Schedule!$Q:$Q,$B$2,Schedule!$D:$D,$A236,Schedule!$E:$E,$B236))</f>
        <v/>
      </c>
    </row>
    <row r="237">
      <c r="J237">
        <f>IF($A237="","",SUMIFS(Schedule!$P:$P,Schedule!$Q:$Q,$B$2,Schedule!$D:$D,$A237,Schedule!$E:$E,$B237))</f>
        <v/>
      </c>
    </row>
    <row r="238">
      <c r="J238">
        <f>IF($A238="","",SUMIFS(Schedule!$P:$P,Schedule!$Q:$Q,$B$2,Schedule!$D:$D,$A238,Schedule!$E:$E,$B238))</f>
        <v/>
      </c>
    </row>
    <row r="239">
      <c r="J239">
        <f>IF($A239="","",SUMIFS(Schedule!$P:$P,Schedule!$Q:$Q,$B$2,Schedule!$D:$D,$A239,Schedule!$E:$E,$B239))</f>
        <v/>
      </c>
    </row>
    <row r="240">
      <c r="J240">
        <f>IF($A240="","",SUMIFS(Schedule!$P:$P,Schedule!$Q:$Q,$B$2,Schedule!$D:$D,$A240,Schedule!$E:$E,$B240))</f>
        <v/>
      </c>
    </row>
    <row r="241">
      <c r="J241">
        <f>IF($A241="","",SUMIFS(Schedule!$P:$P,Schedule!$Q:$Q,$B$2,Schedule!$D:$D,$A241,Schedule!$E:$E,$B241))</f>
        <v/>
      </c>
    </row>
    <row r="242">
      <c r="J242">
        <f>IF($A242="","",SUMIFS(Schedule!$P:$P,Schedule!$Q:$Q,$B$2,Schedule!$D:$D,$A242,Schedule!$E:$E,$B242))</f>
        <v/>
      </c>
    </row>
    <row r="243">
      <c r="J243">
        <f>IF($A243="","",SUMIFS(Schedule!$P:$P,Schedule!$Q:$Q,$B$2,Schedule!$D:$D,$A243,Schedule!$E:$E,$B243))</f>
        <v/>
      </c>
    </row>
    <row r="244">
      <c r="J244">
        <f>IF($A244="","",SUMIFS(Schedule!$P:$P,Schedule!$Q:$Q,$B$2,Schedule!$D:$D,$A244,Schedule!$E:$E,$B244))</f>
        <v/>
      </c>
    </row>
    <row r="245">
      <c r="J245">
        <f>IF($A245="","",SUMIFS(Schedule!$P:$P,Schedule!$Q:$Q,$B$2,Schedule!$D:$D,$A245,Schedule!$E:$E,$B245))</f>
        <v/>
      </c>
    </row>
    <row r="246">
      <c r="J246">
        <f>IF($A246="","",SUMIFS(Schedule!$P:$P,Schedule!$Q:$Q,$B$2,Schedule!$D:$D,$A246,Schedule!$E:$E,$B246))</f>
        <v/>
      </c>
    </row>
    <row r="247">
      <c r="J247">
        <f>IF($A247="","",SUMIFS(Schedule!$P:$P,Schedule!$Q:$Q,$B$2,Schedule!$D:$D,$A247,Schedule!$E:$E,$B247))</f>
        <v/>
      </c>
    </row>
    <row r="248">
      <c r="J248">
        <f>IF($A248="","",SUMIFS(Schedule!$P:$P,Schedule!$Q:$Q,$B$2,Schedule!$D:$D,$A248,Schedule!$E:$E,$B248))</f>
        <v/>
      </c>
    </row>
    <row r="249">
      <c r="J249">
        <f>IF($A249="","",SUMIFS(Schedule!$P:$P,Schedule!$Q:$Q,$B$2,Schedule!$D:$D,$A249,Schedule!$E:$E,$B249))</f>
        <v/>
      </c>
    </row>
    <row r="250">
      <c r="J250">
        <f>IF($A250="","",SUMIFS(Schedule!$P:$P,Schedule!$Q:$Q,$B$2,Schedule!$D:$D,$A250,Schedule!$E:$E,$B250))</f>
        <v/>
      </c>
    </row>
    <row r="251">
      <c r="J251">
        <f>IF($A251="","",SUMIFS(Schedule!$P:$P,Schedule!$Q:$Q,$B$2,Schedule!$D:$D,$A251,Schedule!$E:$E,$B251))</f>
        <v/>
      </c>
    </row>
    <row r="252">
      <c r="J252">
        <f>IF($A252="","",SUMIFS(Schedule!$P:$P,Schedule!$Q:$Q,$B$2,Schedule!$D:$D,$A252,Schedule!$E:$E,$B252))</f>
        <v/>
      </c>
    </row>
    <row r="253">
      <c r="J253">
        <f>IF($A253="","",SUMIFS(Schedule!$P:$P,Schedule!$Q:$Q,$B$2,Schedule!$D:$D,$A253,Schedule!$E:$E,$B253))</f>
        <v/>
      </c>
    </row>
    <row r="254">
      <c r="J254">
        <f>IF($A254="","",SUMIFS(Schedule!$P:$P,Schedule!$Q:$Q,$B$2,Schedule!$D:$D,$A254,Schedule!$E:$E,$B254))</f>
        <v/>
      </c>
    </row>
    <row r="255">
      <c r="J255">
        <f>IF($A255="","",SUMIFS(Schedule!$P:$P,Schedule!$Q:$Q,$B$2,Schedule!$D:$D,$A255,Schedule!$E:$E,$B255))</f>
        <v/>
      </c>
    </row>
    <row r="256">
      <c r="J256">
        <f>IF($A256="","",SUMIFS(Schedule!$P:$P,Schedule!$Q:$Q,$B$2,Schedule!$D:$D,$A256,Schedule!$E:$E,$B256))</f>
        <v/>
      </c>
    </row>
    <row r="257">
      <c r="J257">
        <f>IF($A257="","",SUMIFS(Schedule!$P:$P,Schedule!$Q:$Q,$B$2,Schedule!$D:$D,$A257,Schedule!$E:$E,$B257))</f>
        <v/>
      </c>
    </row>
    <row r="258">
      <c r="J258">
        <f>IF($A258="","",SUMIFS(Schedule!$P:$P,Schedule!$Q:$Q,$B$2,Schedule!$D:$D,$A258,Schedule!$E:$E,$B258))</f>
        <v/>
      </c>
    </row>
    <row r="259">
      <c r="J259">
        <f>IF($A259="","",SUMIFS(Schedule!$P:$P,Schedule!$Q:$Q,$B$2,Schedule!$D:$D,$A259,Schedule!$E:$E,$B259))</f>
        <v/>
      </c>
    </row>
    <row r="260">
      <c r="J260">
        <f>IF($A260="","",SUMIFS(Schedule!$P:$P,Schedule!$Q:$Q,$B$2,Schedule!$D:$D,$A260,Schedule!$E:$E,$B260))</f>
        <v/>
      </c>
    </row>
    <row r="261">
      <c r="J261">
        <f>IF($A261="","",SUMIFS(Schedule!$P:$P,Schedule!$Q:$Q,$B$2,Schedule!$D:$D,$A261,Schedule!$E:$E,$B261))</f>
        <v/>
      </c>
    </row>
    <row r="262">
      <c r="J262">
        <f>IF($A262="","",SUMIFS(Schedule!$P:$P,Schedule!$Q:$Q,$B$2,Schedule!$D:$D,$A262,Schedule!$E:$E,$B262))</f>
        <v/>
      </c>
    </row>
    <row r="263">
      <c r="J263">
        <f>IF($A263="","",SUMIFS(Schedule!$P:$P,Schedule!$Q:$Q,$B$2,Schedule!$D:$D,$A263,Schedule!$E:$E,$B263))</f>
        <v/>
      </c>
    </row>
    <row r="264">
      <c r="J264">
        <f>IF($A264="","",SUMIFS(Schedule!$P:$P,Schedule!$Q:$Q,$B$2,Schedule!$D:$D,$A264,Schedule!$E:$E,$B264))</f>
        <v/>
      </c>
    </row>
    <row r="265">
      <c r="J265">
        <f>IF($A265="","",SUMIFS(Schedule!$P:$P,Schedule!$Q:$Q,$B$2,Schedule!$D:$D,$A265,Schedule!$E:$E,$B265))</f>
        <v/>
      </c>
    </row>
    <row r="266">
      <c r="J266">
        <f>IF($A266="","",SUMIFS(Schedule!$P:$P,Schedule!$Q:$Q,$B$2,Schedule!$D:$D,$A266,Schedule!$E:$E,$B266))</f>
        <v/>
      </c>
    </row>
    <row r="267">
      <c r="J267">
        <f>IF($A267="","",SUMIFS(Schedule!$P:$P,Schedule!$Q:$Q,$B$2,Schedule!$D:$D,$A267,Schedule!$E:$E,$B267))</f>
        <v/>
      </c>
    </row>
    <row r="268">
      <c r="J268">
        <f>IF($A268="","",SUMIFS(Schedule!$P:$P,Schedule!$Q:$Q,$B$2,Schedule!$D:$D,$A268,Schedule!$E:$E,$B268))</f>
        <v/>
      </c>
    </row>
    <row r="269">
      <c r="J269">
        <f>IF($A269="","",SUMIFS(Schedule!$P:$P,Schedule!$Q:$Q,$B$2,Schedule!$D:$D,$A269,Schedule!$E:$E,$B269))</f>
        <v/>
      </c>
    </row>
    <row r="270">
      <c r="J270">
        <f>IF($A270="","",SUMIFS(Schedule!$P:$P,Schedule!$Q:$Q,$B$2,Schedule!$D:$D,$A270,Schedule!$E:$E,$B270))</f>
        <v/>
      </c>
    </row>
    <row r="271">
      <c r="J271">
        <f>IF($A271="","",SUMIFS(Schedule!$P:$P,Schedule!$Q:$Q,$B$2,Schedule!$D:$D,$A271,Schedule!$E:$E,$B271))</f>
        <v/>
      </c>
    </row>
    <row r="272">
      <c r="J272">
        <f>IF($A272="","",SUMIFS(Schedule!$P:$P,Schedule!$Q:$Q,$B$2,Schedule!$D:$D,$A272,Schedule!$E:$E,$B272))</f>
        <v/>
      </c>
    </row>
    <row r="273">
      <c r="J273">
        <f>IF($A273="","",SUMIFS(Schedule!$P:$P,Schedule!$Q:$Q,$B$2,Schedule!$D:$D,$A273,Schedule!$E:$E,$B273))</f>
        <v/>
      </c>
    </row>
    <row r="274">
      <c r="J274">
        <f>IF($A274="","",SUMIFS(Schedule!$P:$P,Schedule!$Q:$Q,$B$2,Schedule!$D:$D,$A274,Schedule!$E:$E,$B274))</f>
        <v/>
      </c>
    </row>
    <row r="275">
      <c r="J275">
        <f>IF($A275="","",SUMIFS(Schedule!$P:$P,Schedule!$Q:$Q,$B$2,Schedule!$D:$D,$A275,Schedule!$E:$E,$B275))</f>
        <v/>
      </c>
    </row>
    <row r="276">
      <c r="J276">
        <f>IF($A276="","",SUMIFS(Schedule!$P:$P,Schedule!$Q:$Q,$B$2,Schedule!$D:$D,$A276,Schedule!$E:$E,$B276))</f>
        <v/>
      </c>
    </row>
    <row r="277">
      <c r="J277">
        <f>IF($A277="","",SUMIFS(Schedule!$P:$P,Schedule!$Q:$Q,$B$2,Schedule!$D:$D,$A277,Schedule!$E:$E,$B277))</f>
        <v/>
      </c>
    </row>
    <row r="278">
      <c r="J278">
        <f>IF($A278="","",SUMIFS(Schedule!$P:$P,Schedule!$Q:$Q,$B$2,Schedule!$D:$D,$A278,Schedule!$E:$E,$B278))</f>
        <v/>
      </c>
    </row>
    <row r="279">
      <c r="J279">
        <f>IF($A279="","",SUMIFS(Schedule!$P:$P,Schedule!$Q:$Q,$B$2,Schedule!$D:$D,$A279,Schedule!$E:$E,$B279))</f>
        <v/>
      </c>
    </row>
    <row r="280">
      <c r="J280">
        <f>IF($A280="","",SUMIFS(Schedule!$P:$P,Schedule!$Q:$Q,$B$2,Schedule!$D:$D,$A280,Schedule!$E:$E,$B280))</f>
        <v/>
      </c>
    </row>
    <row r="281">
      <c r="J281">
        <f>IF($A281="","",SUMIFS(Schedule!$P:$P,Schedule!$Q:$Q,$B$2,Schedule!$D:$D,$A281,Schedule!$E:$E,$B281))</f>
        <v/>
      </c>
    </row>
    <row r="282">
      <c r="J282">
        <f>IF($A282="","",SUMIFS(Schedule!$P:$P,Schedule!$Q:$Q,$B$2,Schedule!$D:$D,$A282,Schedule!$E:$E,$B282))</f>
        <v/>
      </c>
    </row>
    <row r="283">
      <c r="J283">
        <f>IF($A283="","",SUMIFS(Schedule!$P:$P,Schedule!$Q:$Q,$B$2,Schedule!$D:$D,$A283,Schedule!$E:$E,$B283))</f>
        <v/>
      </c>
    </row>
    <row r="284">
      <c r="J284">
        <f>IF($A284="","",SUMIFS(Schedule!$P:$P,Schedule!$Q:$Q,$B$2,Schedule!$D:$D,$A284,Schedule!$E:$E,$B284))</f>
        <v/>
      </c>
    </row>
    <row r="285">
      <c r="J285">
        <f>IF($A285="","",SUMIFS(Schedule!$P:$P,Schedule!$Q:$Q,$B$2,Schedule!$D:$D,$A285,Schedule!$E:$E,$B285))</f>
        <v/>
      </c>
    </row>
    <row r="286">
      <c r="J286">
        <f>IF($A286="","",SUMIFS(Schedule!$P:$P,Schedule!$Q:$Q,$B$2,Schedule!$D:$D,$A286,Schedule!$E:$E,$B286))</f>
        <v/>
      </c>
    </row>
    <row r="287">
      <c r="J287">
        <f>IF($A287="","",SUMIFS(Schedule!$P:$P,Schedule!$Q:$Q,$B$2,Schedule!$D:$D,$A287,Schedule!$E:$E,$B287))</f>
        <v/>
      </c>
    </row>
    <row r="288">
      <c r="J288">
        <f>IF($A288="","",SUMIFS(Schedule!$P:$P,Schedule!$Q:$Q,$B$2,Schedule!$D:$D,$A288,Schedule!$E:$E,$B288))</f>
        <v/>
      </c>
    </row>
    <row r="289">
      <c r="J289">
        <f>IF($A289="","",SUMIFS(Schedule!$P:$P,Schedule!$Q:$Q,$B$2,Schedule!$D:$D,$A289,Schedule!$E:$E,$B289))</f>
        <v/>
      </c>
    </row>
    <row r="290">
      <c r="J290">
        <f>IF($A290="","",SUMIFS(Schedule!$P:$P,Schedule!$Q:$Q,$B$2,Schedule!$D:$D,$A290,Schedule!$E:$E,$B290))</f>
        <v/>
      </c>
    </row>
    <row r="291">
      <c r="J291">
        <f>IF($A291="","",SUMIFS(Schedule!$P:$P,Schedule!$Q:$Q,$B$2,Schedule!$D:$D,$A291,Schedule!$E:$E,$B291))</f>
        <v/>
      </c>
    </row>
    <row r="292">
      <c r="J292">
        <f>IF($A292="","",SUMIFS(Schedule!$P:$P,Schedule!$Q:$Q,$B$2,Schedule!$D:$D,$A292,Schedule!$E:$E,$B292))</f>
        <v/>
      </c>
    </row>
    <row r="293">
      <c r="J293">
        <f>IF($A293="","",SUMIFS(Schedule!$P:$P,Schedule!$Q:$Q,$B$2,Schedule!$D:$D,$A293,Schedule!$E:$E,$B293))</f>
        <v/>
      </c>
    </row>
    <row r="294">
      <c r="J294">
        <f>IF($A294="","",SUMIFS(Schedule!$P:$P,Schedule!$Q:$Q,$B$2,Schedule!$D:$D,$A294,Schedule!$E:$E,$B294))</f>
        <v/>
      </c>
    </row>
    <row r="295">
      <c r="J295">
        <f>IF($A295="","",SUMIFS(Schedule!$P:$P,Schedule!$Q:$Q,$B$2,Schedule!$D:$D,$A295,Schedule!$E:$E,$B295))</f>
        <v/>
      </c>
    </row>
    <row r="296">
      <c r="J296">
        <f>IF($A296="","",SUMIFS(Schedule!$P:$P,Schedule!$Q:$Q,$B$2,Schedule!$D:$D,$A296,Schedule!$E:$E,$B296))</f>
        <v/>
      </c>
    </row>
    <row r="297">
      <c r="J297">
        <f>IF($A297="","",SUMIFS(Schedule!$P:$P,Schedule!$Q:$Q,$B$2,Schedule!$D:$D,$A297,Schedule!$E:$E,$B297))</f>
        <v/>
      </c>
    </row>
    <row r="298">
      <c r="J298">
        <f>IF($A298="","",SUMIFS(Schedule!$P:$P,Schedule!$Q:$Q,$B$2,Schedule!$D:$D,$A298,Schedule!$E:$E,$B298))</f>
        <v/>
      </c>
    </row>
    <row r="299">
      <c r="J299">
        <f>IF($A299="","",SUMIFS(Schedule!$P:$P,Schedule!$Q:$Q,$B$2,Schedule!$D:$D,$A299,Schedule!$E:$E,$B299))</f>
        <v/>
      </c>
    </row>
    <row r="300">
      <c r="J300">
        <f>IF($A300="","",SUMIFS(Schedule!$P:$P,Schedule!$Q:$Q,$B$2,Schedule!$D:$D,$A300,Schedule!$E:$E,$B300))</f>
        <v/>
      </c>
    </row>
  </sheetData>
  <conditionalFormatting sqref="C5:I300">
    <cfRule type="expression" priority="1" dxfId="0">
      <formula>C5="OFF"</formula>
    </cfRule>
  </conditionalFormatting>
  <conditionalFormatting sqref="A5:B300">
    <cfRule type="expression" priority="2" dxfId="2">
      <formula>$A5&lt;&gt;""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5" t="inlineStr">
        <is>
          <t>TEAM LEADER — Weekly Schedule</t>
        </is>
      </c>
    </row>
    <row r="2">
      <c r="A2" s="6" t="inlineStr">
        <is>
          <t>Week start (Sun):</t>
        </is>
      </c>
      <c r="B2" s="7">
        <f>TEXT(TODAY()-WEEKDAY(TODAY())+1,"yyyy-mm-dd")</f>
        <v/>
      </c>
      <c r="D2" s="8" t="inlineStr">
        <is>
          <t>← 셀 = 근무시간 / 출근. OT Hrs = Overtime 탭 합계. 보기 전용 — 입력은 'TL Schedule' 탭에서.</t>
        </is>
      </c>
    </row>
    <row r="3">
      <c r="A3" s="9" t="inlineStr">
        <is>
          <t>Leader</t>
        </is>
      </c>
      <c r="B3" s="9" t="inlineStr">
        <is>
          <t>Sun</t>
        </is>
      </c>
      <c r="C3" s="9" t="inlineStr">
        <is>
          <t>Mon</t>
        </is>
      </c>
      <c r="D3" s="9" t="inlineStr">
        <is>
          <t>Tue</t>
        </is>
      </c>
      <c r="E3" s="9" t="inlineStr">
        <is>
          <t>Wed</t>
        </is>
      </c>
      <c r="F3" s="9" t="inlineStr">
        <is>
          <t>Thu</t>
        </is>
      </c>
      <c r="G3" s="9" t="inlineStr">
        <is>
          <t>Fri</t>
        </is>
      </c>
      <c r="H3" s="9" t="inlineStr">
        <is>
          <t>Sat</t>
        </is>
      </c>
      <c r="I3" s="9" t="inlineStr">
        <is>
          <t>OT Hrs</t>
        </is>
      </c>
    </row>
    <row r="4">
      <c r="B4">
        <f>TEXT(DATEVALUE($B$2)+0,"yyyy-mm-dd")</f>
        <v/>
      </c>
      <c r="C4">
        <f>TEXT(DATEVALUE($B$2)+1,"yyyy-mm-dd")</f>
        <v/>
      </c>
      <c r="D4">
        <f>TEXT(DATEVALUE($B$2)+2,"yyyy-mm-dd")</f>
        <v/>
      </c>
      <c r="E4">
        <f>TEXT(DATEVALUE($B$2)+3,"yyyy-mm-dd")</f>
        <v/>
      </c>
      <c r="F4">
        <f>TEXT(DATEVALUE($B$2)+4,"yyyy-mm-dd")</f>
        <v/>
      </c>
      <c r="G4">
        <f>TEXT(DATEVALUE($B$2)+5,"yyyy-mm-dd")</f>
        <v/>
      </c>
      <c r="H4">
        <f>TEXT(DATEVALUE($B$2)+6,"yyyy-mm-dd")</f>
        <v/>
      </c>
    </row>
    <row r="5">
      <c r="A5" t="inlineStr">
        <is>
          <t>Alyssa</t>
        </is>
      </c>
      <c r="B5">
        <f>ARRAYFORMULA(IF($A5:$A300="","",IFERROR(VLOOKUP(B$4&amp;"|"&amp;$A5:$A300,'TL Schedule'!$H:$I,2,FALSE),"")))</f>
        <v/>
      </c>
      <c r="C5">
        <f>ARRAYFORMULA(IF($A5:$A300="","",IFERROR(VLOOKUP(C$4&amp;"|"&amp;$A5:$A300,'TL Schedule'!$H:$I,2,FALSE),"")))</f>
        <v/>
      </c>
      <c r="D5">
        <f>ARRAYFORMULA(IF($A5:$A300="","",IFERROR(VLOOKUP(D$4&amp;"|"&amp;$A5:$A300,'TL Schedule'!$H:$I,2,FALSE),"")))</f>
        <v/>
      </c>
      <c r="E5">
        <f>ARRAYFORMULA(IF($A5:$A300="","",IFERROR(VLOOKUP(E$4&amp;"|"&amp;$A5:$A300,'TL Schedule'!$H:$I,2,FALSE),"")))</f>
        <v/>
      </c>
      <c r="F5">
        <f>ARRAYFORMULA(IF($A5:$A300="","",IFERROR(VLOOKUP(F$4&amp;"|"&amp;$A5:$A300,'TL Schedule'!$H:$I,2,FALSE),"")))</f>
        <v/>
      </c>
      <c r="G5">
        <f>ARRAYFORMULA(IF($A5:$A300="","",IFERROR(VLOOKUP(G$4&amp;"|"&amp;$A5:$A300,'TL Schedule'!$H:$I,2,FALSE),"")))</f>
        <v/>
      </c>
      <c r="H5">
        <f>ARRAYFORMULA(IF($A5:$A300="","",IFERROR(VLOOKUP(H$4&amp;"|"&amp;$A5:$A300,'TL Schedule'!$H:$I,2,FALSE),"")))</f>
        <v/>
      </c>
      <c r="I5">
        <f>IF($A5="","",SUMIFS(Overtime!$H:$H,Overtime!$B:$B,$A5,Overtime!$M:$M,$B$2))</f>
        <v/>
      </c>
    </row>
    <row r="6">
      <c r="A6" t="inlineStr">
        <is>
          <t>John Manuel</t>
        </is>
      </c>
      <c r="I6">
        <f>IF($A6="","",SUMIFS(Overtime!$H:$H,Overtime!$B:$B,$A6,Overtime!$M:$M,$B$2))</f>
        <v/>
      </c>
    </row>
    <row r="7">
      <c r="A7" t="inlineStr">
        <is>
          <t>Micko Tanedo</t>
        </is>
      </c>
      <c r="I7">
        <f>IF($A7="","",SUMIFS(Overtime!$H:$H,Overtime!$B:$B,$A7,Overtime!$M:$M,$B$2))</f>
        <v/>
      </c>
    </row>
    <row r="8">
      <c r="I8">
        <f>IF($A8="","",SUMIFS(Overtime!$H:$H,Overtime!$B:$B,$A8,Overtime!$M:$M,$B$2))</f>
        <v/>
      </c>
    </row>
    <row r="9">
      <c r="I9">
        <f>IF($A9="","",SUMIFS(Overtime!$H:$H,Overtime!$B:$B,$A9,Overtime!$M:$M,$B$2))</f>
        <v/>
      </c>
    </row>
    <row r="10">
      <c r="I10">
        <f>IF($A10="","",SUMIFS(Overtime!$H:$H,Overtime!$B:$B,$A10,Overtime!$M:$M,$B$2))</f>
        <v/>
      </c>
    </row>
    <row r="11">
      <c r="I11">
        <f>IF($A11="","",SUMIFS(Overtime!$H:$H,Overtime!$B:$B,$A11,Overtime!$M:$M,$B$2))</f>
        <v/>
      </c>
    </row>
    <row r="12">
      <c r="I12">
        <f>IF($A12="","",SUMIFS(Overtime!$H:$H,Overtime!$B:$B,$A12,Overtime!$M:$M,$B$2))</f>
        <v/>
      </c>
    </row>
    <row r="13">
      <c r="I13">
        <f>IF($A13="","",SUMIFS(Overtime!$H:$H,Overtime!$B:$B,$A13,Overtime!$M:$M,$B$2))</f>
        <v/>
      </c>
    </row>
    <row r="14">
      <c r="I14">
        <f>IF($A14="","",SUMIFS(Overtime!$H:$H,Overtime!$B:$B,$A14,Overtime!$M:$M,$B$2))</f>
        <v/>
      </c>
    </row>
    <row r="15">
      <c r="I15">
        <f>IF($A15="","",SUMIFS(Overtime!$H:$H,Overtime!$B:$B,$A15,Overtime!$M:$M,$B$2))</f>
        <v/>
      </c>
    </row>
    <row r="16">
      <c r="I16">
        <f>IF($A16="","",SUMIFS(Overtime!$H:$H,Overtime!$B:$B,$A16,Overtime!$M:$M,$B$2))</f>
        <v/>
      </c>
    </row>
    <row r="17">
      <c r="I17">
        <f>IF($A17="","",SUMIFS(Overtime!$H:$H,Overtime!$B:$B,$A17,Overtime!$M:$M,$B$2))</f>
        <v/>
      </c>
    </row>
    <row r="18">
      <c r="I18">
        <f>IF($A18="","",SUMIFS(Overtime!$H:$H,Overtime!$B:$B,$A18,Overtime!$M:$M,$B$2))</f>
        <v/>
      </c>
    </row>
    <row r="19">
      <c r="I19">
        <f>IF($A19="","",SUMIFS(Overtime!$H:$H,Overtime!$B:$B,$A19,Overtime!$M:$M,$B$2))</f>
        <v/>
      </c>
    </row>
    <row r="20">
      <c r="I20">
        <f>IF($A20="","",SUMIFS(Overtime!$H:$H,Overtime!$B:$B,$A20,Overtime!$M:$M,$B$2))</f>
        <v/>
      </c>
    </row>
    <row r="21">
      <c r="I21">
        <f>IF($A21="","",SUMIFS(Overtime!$H:$H,Overtime!$B:$B,$A21,Overtime!$M:$M,$B$2))</f>
        <v/>
      </c>
    </row>
    <row r="22">
      <c r="I22">
        <f>IF($A22="","",SUMIFS(Overtime!$H:$H,Overtime!$B:$B,$A22,Overtime!$M:$M,$B$2))</f>
        <v/>
      </c>
    </row>
    <row r="23">
      <c r="I23">
        <f>IF($A23="","",SUMIFS(Overtime!$H:$H,Overtime!$B:$B,$A23,Overtime!$M:$M,$B$2))</f>
        <v/>
      </c>
    </row>
    <row r="24">
      <c r="I24">
        <f>IF($A24="","",SUMIFS(Overtime!$H:$H,Overtime!$B:$B,$A24,Overtime!$M:$M,$B$2))</f>
        <v/>
      </c>
    </row>
    <row r="25">
      <c r="I25">
        <f>IF($A25="","",SUMIFS(Overtime!$H:$H,Overtime!$B:$B,$A25,Overtime!$M:$M,$B$2))</f>
        <v/>
      </c>
    </row>
    <row r="26">
      <c r="I26">
        <f>IF($A26="","",SUMIFS(Overtime!$H:$H,Overtime!$B:$B,$A26,Overtime!$M:$M,$B$2))</f>
        <v/>
      </c>
    </row>
    <row r="27">
      <c r="I27">
        <f>IF($A27="","",SUMIFS(Overtime!$H:$H,Overtime!$B:$B,$A27,Overtime!$M:$M,$B$2))</f>
        <v/>
      </c>
    </row>
    <row r="28">
      <c r="I28">
        <f>IF($A28="","",SUMIFS(Overtime!$H:$H,Overtime!$B:$B,$A28,Overtime!$M:$M,$B$2))</f>
        <v/>
      </c>
    </row>
    <row r="29">
      <c r="I29">
        <f>IF($A29="","",SUMIFS(Overtime!$H:$H,Overtime!$B:$B,$A29,Overtime!$M:$M,$B$2))</f>
        <v/>
      </c>
    </row>
    <row r="30">
      <c r="I30">
        <f>IF($A30="","",SUMIFS(Overtime!$H:$H,Overtime!$B:$B,$A30,Overtime!$M:$M,$B$2))</f>
        <v/>
      </c>
    </row>
    <row r="31">
      <c r="I31">
        <f>IF($A31="","",SUMIFS(Overtime!$H:$H,Overtime!$B:$B,$A31,Overtime!$M:$M,$B$2))</f>
        <v/>
      </c>
    </row>
    <row r="32">
      <c r="I32">
        <f>IF($A32="","",SUMIFS(Overtime!$H:$H,Overtime!$B:$B,$A32,Overtime!$M:$M,$B$2))</f>
        <v/>
      </c>
    </row>
    <row r="33">
      <c r="I33">
        <f>IF($A33="","",SUMIFS(Overtime!$H:$H,Overtime!$B:$B,$A33,Overtime!$M:$M,$B$2))</f>
        <v/>
      </c>
    </row>
    <row r="34">
      <c r="I34">
        <f>IF($A34="","",SUMIFS(Overtime!$H:$H,Overtime!$B:$B,$A34,Overtime!$M:$M,$B$2))</f>
        <v/>
      </c>
    </row>
    <row r="35">
      <c r="I35">
        <f>IF($A35="","",SUMIFS(Overtime!$H:$H,Overtime!$B:$B,$A35,Overtime!$M:$M,$B$2))</f>
        <v/>
      </c>
    </row>
    <row r="36">
      <c r="I36">
        <f>IF($A36="","",SUMIFS(Overtime!$H:$H,Overtime!$B:$B,$A36,Overtime!$M:$M,$B$2))</f>
        <v/>
      </c>
    </row>
    <row r="37">
      <c r="I37">
        <f>IF($A37="","",SUMIFS(Overtime!$H:$H,Overtime!$B:$B,$A37,Overtime!$M:$M,$B$2))</f>
        <v/>
      </c>
    </row>
    <row r="38">
      <c r="I38">
        <f>IF($A38="","",SUMIFS(Overtime!$H:$H,Overtime!$B:$B,$A38,Overtime!$M:$M,$B$2))</f>
        <v/>
      </c>
    </row>
    <row r="39">
      <c r="I39">
        <f>IF($A39="","",SUMIFS(Overtime!$H:$H,Overtime!$B:$B,$A39,Overtime!$M:$M,$B$2))</f>
        <v/>
      </c>
    </row>
    <row r="40">
      <c r="I40">
        <f>IF($A40="","",SUMIFS(Overtime!$H:$H,Overtime!$B:$B,$A40,Overtime!$M:$M,$B$2))</f>
        <v/>
      </c>
    </row>
    <row r="41">
      <c r="I41">
        <f>IF($A41="","",SUMIFS(Overtime!$H:$H,Overtime!$B:$B,$A41,Overtime!$M:$M,$B$2))</f>
        <v/>
      </c>
    </row>
    <row r="42">
      <c r="I42">
        <f>IF($A42="","",SUMIFS(Overtime!$H:$H,Overtime!$B:$B,$A42,Overtime!$M:$M,$B$2))</f>
        <v/>
      </c>
    </row>
    <row r="43">
      <c r="I43">
        <f>IF($A43="","",SUMIFS(Overtime!$H:$H,Overtime!$B:$B,$A43,Overtime!$M:$M,$B$2))</f>
        <v/>
      </c>
    </row>
    <row r="44">
      <c r="I44">
        <f>IF($A44="","",SUMIFS(Overtime!$H:$H,Overtime!$B:$B,$A44,Overtime!$M:$M,$B$2))</f>
        <v/>
      </c>
    </row>
    <row r="45">
      <c r="I45">
        <f>IF($A45="","",SUMIFS(Overtime!$H:$H,Overtime!$B:$B,$A45,Overtime!$M:$M,$B$2))</f>
        <v/>
      </c>
    </row>
    <row r="46">
      <c r="I46">
        <f>IF($A46="","",SUMIFS(Overtime!$H:$H,Overtime!$B:$B,$A46,Overtime!$M:$M,$B$2))</f>
        <v/>
      </c>
    </row>
    <row r="47">
      <c r="I47">
        <f>IF($A47="","",SUMIFS(Overtime!$H:$H,Overtime!$B:$B,$A47,Overtime!$M:$M,$B$2))</f>
        <v/>
      </c>
    </row>
    <row r="48">
      <c r="I48">
        <f>IF($A48="","",SUMIFS(Overtime!$H:$H,Overtime!$B:$B,$A48,Overtime!$M:$M,$B$2))</f>
        <v/>
      </c>
    </row>
    <row r="49">
      <c r="I49">
        <f>IF($A49="","",SUMIFS(Overtime!$H:$H,Overtime!$B:$B,$A49,Overtime!$M:$M,$B$2))</f>
        <v/>
      </c>
    </row>
    <row r="50">
      <c r="I50">
        <f>IF($A50="","",SUMIFS(Overtime!$H:$H,Overtime!$B:$B,$A50,Overtime!$M:$M,$B$2))</f>
        <v/>
      </c>
    </row>
    <row r="51">
      <c r="I51">
        <f>IF($A51="","",SUMIFS(Overtime!$H:$H,Overtime!$B:$B,$A51,Overtime!$M:$M,$B$2))</f>
        <v/>
      </c>
    </row>
    <row r="52">
      <c r="I52">
        <f>IF($A52="","",SUMIFS(Overtime!$H:$H,Overtime!$B:$B,$A52,Overtime!$M:$M,$B$2))</f>
        <v/>
      </c>
    </row>
    <row r="53">
      <c r="I53">
        <f>IF($A53="","",SUMIFS(Overtime!$H:$H,Overtime!$B:$B,$A53,Overtime!$M:$M,$B$2))</f>
        <v/>
      </c>
    </row>
    <row r="54">
      <c r="I54">
        <f>IF($A54="","",SUMIFS(Overtime!$H:$H,Overtime!$B:$B,$A54,Overtime!$M:$M,$B$2))</f>
        <v/>
      </c>
    </row>
    <row r="55">
      <c r="I55">
        <f>IF($A55="","",SUMIFS(Overtime!$H:$H,Overtime!$B:$B,$A55,Overtime!$M:$M,$B$2))</f>
        <v/>
      </c>
    </row>
    <row r="56">
      <c r="I56">
        <f>IF($A56="","",SUMIFS(Overtime!$H:$H,Overtime!$B:$B,$A56,Overtime!$M:$M,$B$2))</f>
        <v/>
      </c>
    </row>
    <row r="57">
      <c r="I57">
        <f>IF($A57="","",SUMIFS(Overtime!$H:$H,Overtime!$B:$B,$A57,Overtime!$M:$M,$B$2))</f>
        <v/>
      </c>
    </row>
    <row r="58">
      <c r="I58">
        <f>IF($A58="","",SUMIFS(Overtime!$H:$H,Overtime!$B:$B,$A58,Overtime!$M:$M,$B$2))</f>
        <v/>
      </c>
    </row>
    <row r="59">
      <c r="I59">
        <f>IF($A59="","",SUMIFS(Overtime!$H:$H,Overtime!$B:$B,$A59,Overtime!$M:$M,$B$2))</f>
        <v/>
      </c>
    </row>
    <row r="60">
      <c r="I60">
        <f>IF($A60="","",SUMIFS(Overtime!$H:$H,Overtime!$B:$B,$A60,Overtime!$M:$M,$B$2))</f>
        <v/>
      </c>
    </row>
    <row r="61">
      <c r="I61">
        <f>IF($A61="","",SUMIFS(Overtime!$H:$H,Overtime!$B:$B,$A61,Overtime!$M:$M,$B$2))</f>
        <v/>
      </c>
    </row>
    <row r="62">
      <c r="I62">
        <f>IF($A62="","",SUMIFS(Overtime!$H:$H,Overtime!$B:$B,$A62,Overtime!$M:$M,$B$2))</f>
        <v/>
      </c>
    </row>
    <row r="63">
      <c r="I63">
        <f>IF($A63="","",SUMIFS(Overtime!$H:$H,Overtime!$B:$B,$A63,Overtime!$M:$M,$B$2))</f>
        <v/>
      </c>
    </row>
    <row r="64">
      <c r="I64">
        <f>IF($A64="","",SUMIFS(Overtime!$H:$H,Overtime!$B:$B,$A64,Overtime!$M:$M,$B$2))</f>
        <v/>
      </c>
    </row>
    <row r="65">
      <c r="I65">
        <f>IF($A65="","",SUMIFS(Overtime!$H:$H,Overtime!$B:$B,$A65,Overtime!$M:$M,$B$2))</f>
        <v/>
      </c>
    </row>
    <row r="66">
      <c r="I66">
        <f>IF($A66="","",SUMIFS(Overtime!$H:$H,Overtime!$B:$B,$A66,Overtime!$M:$M,$B$2))</f>
        <v/>
      </c>
    </row>
    <row r="67">
      <c r="I67">
        <f>IF($A67="","",SUMIFS(Overtime!$H:$H,Overtime!$B:$B,$A67,Overtime!$M:$M,$B$2))</f>
        <v/>
      </c>
    </row>
    <row r="68">
      <c r="I68">
        <f>IF($A68="","",SUMIFS(Overtime!$H:$H,Overtime!$B:$B,$A68,Overtime!$M:$M,$B$2))</f>
        <v/>
      </c>
    </row>
    <row r="69">
      <c r="I69">
        <f>IF($A69="","",SUMIFS(Overtime!$H:$H,Overtime!$B:$B,$A69,Overtime!$M:$M,$B$2))</f>
        <v/>
      </c>
    </row>
    <row r="70">
      <c r="I70">
        <f>IF($A70="","",SUMIFS(Overtime!$H:$H,Overtime!$B:$B,$A70,Overtime!$M:$M,$B$2))</f>
        <v/>
      </c>
    </row>
    <row r="71">
      <c r="I71">
        <f>IF($A71="","",SUMIFS(Overtime!$H:$H,Overtime!$B:$B,$A71,Overtime!$M:$M,$B$2))</f>
        <v/>
      </c>
    </row>
    <row r="72">
      <c r="I72">
        <f>IF($A72="","",SUMIFS(Overtime!$H:$H,Overtime!$B:$B,$A72,Overtime!$M:$M,$B$2))</f>
        <v/>
      </c>
    </row>
    <row r="73">
      <c r="I73">
        <f>IF($A73="","",SUMIFS(Overtime!$H:$H,Overtime!$B:$B,$A73,Overtime!$M:$M,$B$2))</f>
        <v/>
      </c>
    </row>
    <row r="74">
      <c r="I74">
        <f>IF($A74="","",SUMIFS(Overtime!$H:$H,Overtime!$B:$B,$A74,Overtime!$M:$M,$B$2))</f>
        <v/>
      </c>
    </row>
    <row r="75">
      <c r="I75">
        <f>IF($A75="","",SUMIFS(Overtime!$H:$H,Overtime!$B:$B,$A75,Overtime!$M:$M,$B$2))</f>
        <v/>
      </c>
    </row>
    <row r="76">
      <c r="I76">
        <f>IF($A76="","",SUMIFS(Overtime!$H:$H,Overtime!$B:$B,$A76,Overtime!$M:$M,$B$2))</f>
        <v/>
      </c>
    </row>
    <row r="77">
      <c r="I77">
        <f>IF($A77="","",SUMIFS(Overtime!$H:$H,Overtime!$B:$B,$A77,Overtime!$M:$M,$B$2))</f>
        <v/>
      </c>
    </row>
    <row r="78">
      <c r="I78">
        <f>IF($A78="","",SUMIFS(Overtime!$H:$H,Overtime!$B:$B,$A78,Overtime!$M:$M,$B$2))</f>
        <v/>
      </c>
    </row>
    <row r="79">
      <c r="I79">
        <f>IF($A79="","",SUMIFS(Overtime!$H:$H,Overtime!$B:$B,$A79,Overtime!$M:$M,$B$2))</f>
        <v/>
      </c>
    </row>
    <row r="80">
      <c r="I80">
        <f>IF($A80="","",SUMIFS(Overtime!$H:$H,Overtime!$B:$B,$A80,Overtime!$M:$M,$B$2))</f>
        <v/>
      </c>
    </row>
    <row r="81">
      <c r="I81">
        <f>IF($A81="","",SUMIFS(Overtime!$H:$H,Overtime!$B:$B,$A81,Overtime!$M:$M,$B$2))</f>
        <v/>
      </c>
    </row>
    <row r="82">
      <c r="I82">
        <f>IF($A82="","",SUMIFS(Overtime!$H:$H,Overtime!$B:$B,$A82,Overtime!$M:$M,$B$2))</f>
        <v/>
      </c>
    </row>
    <row r="83">
      <c r="I83">
        <f>IF($A83="","",SUMIFS(Overtime!$H:$H,Overtime!$B:$B,$A83,Overtime!$M:$M,$B$2))</f>
        <v/>
      </c>
    </row>
    <row r="84">
      <c r="I84">
        <f>IF($A84="","",SUMIFS(Overtime!$H:$H,Overtime!$B:$B,$A84,Overtime!$M:$M,$B$2))</f>
        <v/>
      </c>
    </row>
    <row r="85">
      <c r="I85">
        <f>IF($A85="","",SUMIFS(Overtime!$H:$H,Overtime!$B:$B,$A85,Overtime!$M:$M,$B$2))</f>
        <v/>
      </c>
    </row>
    <row r="86">
      <c r="I86">
        <f>IF($A86="","",SUMIFS(Overtime!$H:$H,Overtime!$B:$B,$A86,Overtime!$M:$M,$B$2))</f>
        <v/>
      </c>
    </row>
    <row r="87">
      <c r="I87">
        <f>IF($A87="","",SUMIFS(Overtime!$H:$H,Overtime!$B:$B,$A87,Overtime!$M:$M,$B$2))</f>
        <v/>
      </c>
    </row>
    <row r="88">
      <c r="I88">
        <f>IF($A88="","",SUMIFS(Overtime!$H:$H,Overtime!$B:$B,$A88,Overtime!$M:$M,$B$2))</f>
        <v/>
      </c>
    </row>
    <row r="89">
      <c r="I89">
        <f>IF($A89="","",SUMIFS(Overtime!$H:$H,Overtime!$B:$B,$A89,Overtime!$M:$M,$B$2))</f>
        <v/>
      </c>
    </row>
    <row r="90">
      <c r="I90">
        <f>IF($A90="","",SUMIFS(Overtime!$H:$H,Overtime!$B:$B,$A90,Overtime!$M:$M,$B$2))</f>
        <v/>
      </c>
    </row>
    <row r="91">
      <c r="I91">
        <f>IF($A91="","",SUMIFS(Overtime!$H:$H,Overtime!$B:$B,$A91,Overtime!$M:$M,$B$2))</f>
        <v/>
      </c>
    </row>
    <row r="92">
      <c r="I92">
        <f>IF($A92="","",SUMIFS(Overtime!$H:$H,Overtime!$B:$B,$A92,Overtime!$M:$M,$B$2))</f>
        <v/>
      </c>
    </row>
    <row r="93">
      <c r="I93">
        <f>IF($A93="","",SUMIFS(Overtime!$H:$H,Overtime!$B:$B,$A93,Overtime!$M:$M,$B$2))</f>
        <v/>
      </c>
    </row>
    <row r="94">
      <c r="I94">
        <f>IF($A94="","",SUMIFS(Overtime!$H:$H,Overtime!$B:$B,$A94,Overtime!$M:$M,$B$2))</f>
        <v/>
      </c>
    </row>
    <row r="95">
      <c r="I95">
        <f>IF($A95="","",SUMIFS(Overtime!$H:$H,Overtime!$B:$B,$A95,Overtime!$M:$M,$B$2))</f>
        <v/>
      </c>
    </row>
    <row r="96">
      <c r="I96">
        <f>IF($A96="","",SUMIFS(Overtime!$H:$H,Overtime!$B:$B,$A96,Overtime!$M:$M,$B$2))</f>
        <v/>
      </c>
    </row>
    <row r="97">
      <c r="I97">
        <f>IF($A97="","",SUMIFS(Overtime!$H:$H,Overtime!$B:$B,$A97,Overtime!$M:$M,$B$2))</f>
        <v/>
      </c>
    </row>
    <row r="98">
      <c r="I98">
        <f>IF($A98="","",SUMIFS(Overtime!$H:$H,Overtime!$B:$B,$A98,Overtime!$M:$M,$B$2))</f>
        <v/>
      </c>
    </row>
    <row r="99">
      <c r="I99">
        <f>IF($A99="","",SUMIFS(Overtime!$H:$H,Overtime!$B:$B,$A99,Overtime!$M:$M,$B$2))</f>
        <v/>
      </c>
    </row>
    <row r="100">
      <c r="I100">
        <f>IF($A100="","",SUMIFS(Overtime!$H:$H,Overtime!$B:$B,$A100,Overtime!$M:$M,$B$2))</f>
        <v/>
      </c>
    </row>
    <row r="101">
      <c r="I101">
        <f>IF($A101="","",SUMIFS(Overtime!$H:$H,Overtime!$B:$B,$A101,Overtime!$M:$M,$B$2))</f>
        <v/>
      </c>
    </row>
    <row r="102">
      <c r="I102">
        <f>IF($A102="","",SUMIFS(Overtime!$H:$H,Overtime!$B:$B,$A102,Overtime!$M:$M,$B$2))</f>
        <v/>
      </c>
    </row>
    <row r="103">
      <c r="I103">
        <f>IF($A103="","",SUMIFS(Overtime!$H:$H,Overtime!$B:$B,$A103,Overtime!$M:$M,$B$2))</f>
        <v/>
      </c>
    </row>
    <row r="104">
      <c r="I104">
        <f>IF($A104="","",SUMIFS(Overtime!$H:$H,Overtime!$B:$B,$A104,Overtime!$M:$M,$B$2))</f>
        <v/>
      </c>
    </row>
    <row r="105">
      <c r="I105">
        <f>IF($A105="","",SUMIFS(Overtime!$H:$H,Overtime!$B:$B,$A105,Overtime!$M:$M,$B$2))</f>
        <v/>
      </c>
    </row>
    <row r="106">
      <c r="I106">
        <f>IF($A106="","",SUMIFS(Overtime!$H:$H,Overtime!$B:$B,$A106,Overtime!$M:$M,$B$2))</f>
        <v/>
      </c>
    </row>
    <row r="107">
      <c r="I107">
        <f>IF($A107="","",SUMIFS(Overtime!$H:$H,Overtime!$B:$B,$A107,Overtime!$M:$M,$B$2))</f>
        <v/>
      </c>
    </row>
    <row r="108">
      <c r="I108">
        <f>IF($A108="","",SUMIFS(Overtime!$H:$H,Overtime!$B:$B,$A108,Overtime!$M:$M,$B$2))</f>
        <v/>
      </c>
    </row>
    <row r="109">
      <c r="I109">
        <f>IF($A109="","",SUMIFS(Overtime!$H:$H,Overtime!$B:$B,$A109,Overtime!$M:$M,$B$2))</f>
        <v/>
      </c>
    </row>
    <row r="110">
      <c r="I110">
        <f>IF($A110="","",SUMIFS(Overtime!$H:$H,Overtime!$B:$B,$A110,Overtime!$M:$M,$B$2))</f>
        <v/>
      </c>
    </row>
    <row r="111">
      <c r="I111">
        <f>IF($A111="","",SUMIFS(Overtime!$H:$H,Overtime!$B:$B,$A111,Overtime!$M:$M,$B$2))</f>
        <v/>
      </c>
    </row>
    <row r="112">
      <c r="I112">
        <f>IF($A112="","",SUMIFS(Overtime!$H:$H,Overtime!$B:$B,$A112,Overtime!$M:$M,$B$2))</f>
        <v/>
      </c>
    </row>
    <row r="113">
      <c r="I113">
        <f>IF($A113="","",SUMIFS(Overtime!$H:$H,Overtime!$B:$B,$A113,Overtime!$M:$M,$B$2))</f>
        <v/>
      </c>
    </row>
    <row r="114">
      <c r="I114">
        <f>IF($A114="","",SUMIFS(Overtime!$H:$H,Overtime!$B:$B,$A114,Overtime!$M:$M,$B$2))</f>
        <v/>
      </c>
    </row>
    <row r="115">
      <c r="I115">
        <f>IF($A115="","",SUMIFS(Overtime!$H:$H,Overtime!$B:$B,$A115,Overtime!$M:$M,$B$2))</f>
        <v/>
      </c>
    </row>
    <row r="116">
      <c r="I116">
        <f>IF($A116="","",SUMIFS(Overtime!$H:$H,Overtime!$B:$B,$A116,Overtime!$M:$M,$B$2))</f>
        <v/>
      </c>
    </row>
    <row r="117">
      <c r="I117">
        <f>IF($A117="","",SUMIFS(Overtime!$H:$H,Overtime!$B:$B,$A117,Overtime!$M:$M,$B$2))</f>
        <v/>
      </c>
    </row>
    <row r="118">
      <c r="I118">
        <f>IF($A118="","",SUMIFS(Overtime!$H:$H,Overtime!$B:$B,$A118,Overtime!$M:$M,$B$2))</f>
        <v/>
      </c>
    </row>
    <row r="119">
      <c r="I119">
        <f>IF($A119="","",SUMIFS(Overtime!$H:$H,Overtime!$B:$B,$A119,Overtime!$M:$M,$B$2))</f>
        <v/>
      </c>
    </row>
    <row r="120">
      <c r="I120">
        <f>IF($A120="","",SUMIFS(Overtime!$H:$H,Overtime!$B:$B,$A120,Overtime!$M:$M,$B$2))</f>
        <v/>
      </c>
    </row>
    <row r="121">
      <c r="I121">
        <f>IF($A121="","",SUMIFS(Overtime!$H:$H,Overtime!$B:$B,$A121,Overtime!$M:$M,$B$2))</f>
        <v/>
      </c>
    </row>
    <row r="122">
      <c r="I122">
        <f>IF($A122="","",SUMIFS(Overtime!$H:$H,Overtime!$B:$B,$A122,Overtime!$M:$M,$B$2))</f>
        <v/>
      </c>
    </row>
    <row r="123">
      <c r="I123">
        <f>IF($A123="","",SUMIFS(Overtime!$H:$H,Overtime!$B:$B,$A123,Overtime!$M:$M,$B$2))</f>
        <v/>
      </c>
    </row>
    <row r="124">
      <c r="I124">
        <f>IF($A124="","",SUMIFS(Overtime!$H:$H,Overtime!$B:$B,$A124,Overtime!$M:$M,$B$2))</f>
        <v/>
      </c>
    </row>
    <row r="125">
      <c r="I125">
        <f>IF($A125="","",SUMIFS(Overtime!$H:$H,Overtime!$B:$B,$A125,Overtime!$M:$M,$B$2))</f>
        <v/>
      </c>
    </row>
    <row r="126">
      <c r="I126">
        <f>IF($A126="","",SUMIFS(Overtime!$H:$H,Overtime!$B:$B,$A126,Overtime!$M:$M,$B$2))</f>
        <v/>
      </c>
    </row>
    <row r="127">
      <c r="I127">
        <f>IF($A127="","",SUMIFS(Overtime!$H:$H,Overtime!$B:$B,$A127,Overtime!$M:$M,$B$2))</f>
        <v/>
      </c>
    </row>
    <row r="128">
      <c r="I128">
        <f>IF($A128="","",SUMIFS(Overtime!$H:$H,Overtime!$B:$B,$A128,Overtime!$M:$M,$B$2))</f>
        <v/>
      </c>
    </row>
    <row r="129">
      <c r="I129">
        <f>IF($A129="","",SUMIFS(Overtime!$H:$H,Overtime!$B:$B,$A129,Overtime!$M:$M,$B$2))</f>
        <v/>
      </c>
    </row>
    <row r="130">
      <c r="I130">
        <f>IF($A130="","",SUMIFS(Overtime!$H:$H,Overtime!$B:$B,$A130,Overtime!$M:$M,$B$2))</f>
        <v/>
      </c>
    </row>
    <row r="131">
      <c r="I131">
        <f>IF($A131="","",SUMIFS(Overtime!$H:$H,Overtime!$B:$B,$A131,Overtime!$M:$M,$B$2))</f>
        <v/>
      </c>
    </row>
    <row r="132">
      <c r="I132">
        <f>IF($A132="","",SUMIFS(Overtime!$H:$H,Overtime!$B:$B,$A132,Overtime!$M:$M,$B$2))</f>
        <v/>
      </c>
    </row>
    <row r="133">
      <c r="I133">
        <f>IF($A133="","",SUMIFS(Overtime!$H:$H,Overtime!$B:$B,$A133,Overtime!$M:$M,$B$2))</f>
        <v/>
      </c>
    </row>
    <row r="134">
      <c r="I134">
        <f>IF($A134="","",SUMIFS(Overtime!$H:$H,Overtime!$B:$B,$A134,Overtime!$M:$M,$B$2))</f>
        <v/>
      </c>
    </row>
    <row r="135">
      <c r="I135">
        <f>IF($A135="","",SUMIFS(Overtime!$H:$H,Overtime!$B:$B,$A135,Overtime!$M:$M,$B$2))</f>
        <v/>
      </c>
    </row>
    <row r="136">
      <c r="I136">
        <f>IF($A136="","",SUMIFS(Overtime!$H:$H,Overtime!$B:$B,$A136,Overtime!$M:$M,$B$2))</f>
        <v/>
      </c>
    </row>
    <row r="137">
      <c r="I137">
        <f>IF($A137="","",SUMIFS(Overtime!$H:$H,Overtime!$B:$B,$A137,Overtime!$M:$M,$B$2))</f>
        <v/>
      </c>
    </row>
    <row r="138">
      <c r="I138">
        <f>IF($A138="","",SUMIFS(Overtime!$H:$H,Overtime!$B:$B,$A138,Overtime!$M:$M,$B$2))</f>
        <v/>
      </c>
    </row>
    <row r="139">
      <c r="I139">
        <f>IF($A139="","",SUMIFS(Overtime!$H:$H,Overtime!$B:$B,$A139,Overtime!$M:$M,$B$2))</f>
        <v/>
      </c>
    </row>
    <row r="140">
      <c r="I140">
        <f>IF($A140="","",SUMIFS(Overtime!$H:$H,Overtime!$B:$B,$A140,Overtime!$M:$M,$B$2))</f>
        <v/>
      </c>
    </row>
    <row r="141">
      <c r="I141">
        <f>IF($A141="","",SUMIFS(Overtime!$H:$H,Overtime!$B:$B,$A141,Overtime!$M:$M,$B$2))</f>
        <v/>
      </c>
    </row>
    <row r="142">
      <c r="I142">
        <f>IF($A142="","",SUMIFS(Overtime!$H:$H,Overtime!$B:$B,$A142,Overtime!$M:$M,$B$2))</f>
        <v/>
      </c>
    </row>
    <row r="143">
      <c r="I143">
        <f>IF($A143="","",SUMIFS(Overtime!$H:$H,Overtime!$B:$B,$A143,Overtime!$M:$M,$B$2))</f>
        <v/>
      </c>
    </row>
    <row r="144">
      <c r="I144">
        <f>IF($A144="","",SUMIFS(Overtime!$H:$H,Overtime!$B:$B,$A144,Overtime!$M:$M,$B$2))</f>
        <v/>
      </c>
    </row>
    <row r="145">
      <c r="I145">
        <f>IF($A145="","",SUMIFS(Overtime!$H:$H,Overtime!$B:$B,$A145,Overtime!$M:$M,$B$2))</f>
        <v/>
      </c>
    </row>
    <row r="146">
      <c r="I146">
        <f>IF($A146="","",SUMIFS(Overtime!$H:$H,Overtime!$B:$B,$A146,Overtime!$M:$M,$B$2))</f>
        <v/>
      </c>
    </row>
    <row r="147">
      <c r="I147">
        <f>IF($A147="","",SUMIFS(Overtime!$H:$H,Overtime!$B:$B,$A147,Overtime!$M:$M,$B$2))</f>
        <v/>
      </c>
    </row>
    <row r="148">
      <c r="I148">
        <f>IF($A148="","",SUMIFS(Overtime!$H:$H,Overtime!$B:$B,$A148,Overtime!$M:$M,$B$2))</f>
        <v/>
      </c>
    </row>
    <row r="149">
      <c r="I149">
        <f>IF($A149="","",SUMIFS(Overtime!$H:$H,Overtime!$B:$B,$A149,Overtime!$M:$M,$B$2))</f>
        <v/>
      </c>
    </row>
    <row r="150">
      <c r="I150">
        <f>IF($A150="","",SUMIFS(Overtime!$H:$H,Overtime!$B:$B,$A150,Overtime!$M:$M,$B$2))</f>
        <v/>
      </c>
    </row>
    <row r="151">
      <c r="I151">
        <f>IF($A151="","",SUMIFS(Overtime!$H:$H,Overtime!$B:$B,$A151,Overtime!$M:$M,$B$2))</f>
        <v/>
      </c>
    </row>
    <row r="152">
      <c r="I152">
        <f>IF($A152="","",SUMIFS(Overtime!$H:$H,Overtime!$B:$B,$A152,Overtime!$M:$M,$B$2))</f>
        <v/>
      </c>
    </row>
    <row r="153">
      <c r="I153">
        <f>IF($A153="","",SUMIFS(Overtime!$H:$H,Overtime!$B:$B,$A153,Overtime!$M:$M,$B$2))</f>
        <v/>
      </c>
    </row>
    <row r="154">
      <c r="I154">
        <f>IF($A154="","",SUMIFS(Overtime!$H:$H,Overtime!$B:$B,$A154,Overtime!$M:$M,$B$2))</f>
        <v/>
      </c>
    </row>
    <row r="155">
      <c r="I155">
        <f>IF($A155="","",SUMIFS(Overtime!$H:$H,Overtime!$B:$B,$A155,Overtime!$M:$M,$B$2))</f>
        <v/>
      </c>
    </row>
    <row r="156">
      <c r="I156">
        <f>IF($A156="","",SUMIFS(Overtime!$H:$H,Overtime!$B:$B,$A156,Overtime!$M:$M,$B$2))</f>
        <v/>
      </c>
    </row>
    <row r="157">
      <c r="I157">
        <f>IF($A157="","",SUMIFS(Overtime!$H:$H,Overtime!$B:$B,$A157,Overtime!$M:$M,$B$2))</f>
        <v/>
      </c>
    </row>
    <row r="158">
      <c r="I158">
        <f>IF($A158="","",SUMIFS(Overtime!$H:$H,Overtime!$B:$B,$A158,Overtime!$M:$M,$B$2))</f>
        <v/>
      </c>
    </row>
    <row r="159">
      <c r="I159">
        <f>IF($A159="","",SUMIFS(Overtime!$H:$H,Overtime!$B:$B,$A159,Overtime!$M:$M,$B$2))</f>
        <v/>
      </c>
    </row>
    <row r="160">
      <c r="I160">
        <f>IF($A160="","",SUMIFS(Overtime!$H:$H,Overtime!$B:$B,$A160,Overtime!$M:$M,$B$2))</f>
        <v/>
      </c>
    </row>
    <row r="161">
      <c r="I161">
        <f>IF($A161="","",SUMIFS(Overtime!$H:$H,Overtime!$B:$B,$A161,Overtime!$M:$M,$B$2))</f>
        <v/>
      </c>
    </row>
    <row r="162">
      <c r="I162">
        <f>IF($A162="","",SUMIFS(Overtime!$H:$H,Overtime!$B:$B,$A162,Overtime!$M:$M,$B$2))</f>
        <v/>
      </c>
    </row>
    <row r="163">
      <c r="I163">
        <f>IF($A163="","",SUMIFS(Overtime!$H:$H,Overtime!$B:$B,$A163,Overtime!$M:$M,$B$2))</f>
        <v/>
      </c>
    </row>
    <row r="164">
      <c r="I164">
        <f>IF($A164="","",SUMIFS(Overtime!$H:$H,Overtime!$B:$B,$A164,Overtime!$M:$M,$B$2))</f>
        <v/>
      </c>
    </row>
    <row r="165">
      <c r="I165">
        <f>IF($A165="","",SUMIFS(Overtime!$H:$H,Overtime!$B:$B,$A165,Overtime!$M:$M,$B$2))</f>
        <v/>
      </c>
    </row>
    <row r="166">
      <c r="I166">
        <f>IF($A166="","",SUMIFS(Overtime!$H:$H,Overtime!$B:$B,$A166,Overtime!$M:$M,$B$2))</f>
        <v/>
      </c>
    </row>
    <row r="167">
      <c r="I167">
        <f>IF($A167="","",SUMIFS(Overtime!$H:$H,Overtime!$B:$B,$A167,Overtime!$M:$M,$B$2))</f>
        <v/>
      </c>
    </row>
    <row r="168">
      <c r="I168">
        <f>IF($A168="","",SUMIFS(Overtime!$H:$H,Overtime!$B:$B,$A168,Overtime!$M:$M,$B$2))</f>
        <v/>
      </c>
    </row>
    <row r="169">
      <c r="I169">
        <f>IF($A169="","",SUMIFS(Overtime!$H:$H,Overtime!$B:$B,$A169,Overtime!$M:$M,$B$2))</f>
        <v/>
      </c>
    </row>
    <row r="170">
      <c r="I170">
        <f>IF($A170="","",SUMIFS(Overtime!$H:$H,Overtime!$B:$B,$A170,Overtime!$M:$M,$B$2))</f>
        <v/>
      </c>
    </row>
    <row r="171">
      <c r="I171">
        <f>IF($A171="","",SUMIFS(Overtime!$H:$H,Overtime!$B:$B,$A171,Overtime!$M:$M,$B$2))</f>
        <v/>
      </c>
    </row>
    <row r="172">
      <c r="I172">
        <f>IF($A172="","",SUMIFS(Overtime!$H:$H,Overtime!$B:$B,$A172,Overtime!$M:$M,$B$2))</f>
        <v/>
      </c>
    </row>
    <row r="173">
      <c r="I173">
        <f>IF($A173="","",SUMIFS(Overtime!$H:$H,Overtime!$B:$B,$A173,Overtime!$M:$M,$B$2))</f>
        <v/>
      </c>
    </row>
    <row r="174">
      <c r="I174">
        <f>IF($A174="","",SUMIFS(Overtime!$H:$H,Overtime!$B:$B,$A174,Overtime!$M:$M,$B$2))</f>
        <v/>
      </c>
    </row>
    <row r="175">
      <c r="I175">
        <f>IF($A175="","",SUMIFS(Overtime!$H:$H,Overtime!$B:$B,$A175,Overtime!$M:$M,$B$2))</f>
        <v/>
      </c>
    </row>
    <row r="176">
      <c r="I176">
        <f>IF($A176="","",SUMIFS(Overtime!$H:$H,Overtime!$B:$B,$A176,Overtime!$M:$M,$B$2))</f>
        <v/>
      </c>
    </row>
    <row r="177">
      <c r="I177">
        <f>IF($A177="","",SUMIFS(Overtime!$H:$H,Overtime!$B:$B,$A177,Overtime!$M:$M,$B$2))</f>
        <v/>
      </c>
    </row>
    <row r="178">
      <c r="I178">
        <f>IF($A178="","",SUMIFS(Overtime!$H:$H,Overtime!$B:$B,$A178,Overtime!$M:$M,$B$2))</f>
        <v/>
      </c>
    </row>
    <row r="179">
      <c r="I179">
        <f>IF($A179="","",SUMIFS(Overtime!$H:$H,Overtime!$B:$B,$A179,Overtime!$M:$M,$B$2))</f>
        <v/>
      </c>
    </row>
    <row r="180">
      <c r="I180">
        <f>IF($A180="","",SUMIFS(Overtime!$H:$H,Overtime!$B:$B,$A180,Overtime!$M:$M,$B$2))</f>
        <v/>
      </c>
    </row>
    <row r="181">
      <c r="I181">
        <f>IF($A181="","",SUMIFS(Overtime!$H:$H,Overtime!$B:$B,$A181,Overtime!$M:$M,$B$2))</f>
        <v/>
      </c>
    </row>
    <row r="182">
      <c r="I182">
        <f>IF($A182="","",SUMIFS(Overtime!$H:$H,Overtime!$B:$B,$A182,Overtime!$M:$M,$B$2))</f>
        <v/>
      </c>
    </row>
    <row r="183">
      <c r="I183">
        <f>IF($A183="","",SUMIFS(Overtime!$H:$H,Overtime!$B:$B,$A183,Overtime!$M:$M,$B$2))</f>
        <v/>
      </c>
    </row>
    <row r="184">
      <c r="I184">
        <f>IF($A184="","",SUMIFS(Overtime!$H:$H,Overtime!$B:$B,$A184,Overtime!$M:$M,$B$2))</f>
        <v/>
      </c>
    </row>
    <row r="185">
      <c r="I185">
        <f>IF($A185="","",SUMIFS(Overtime!$H:$H,Overtime!$B:$B,$A185,Overtime!$M:$M,$B$2))</f>
        <v/>
      </c>
    </row>
    <row r="186">
      <c r="I186">
        <f>IF($A186="","",SUMIFS(Overtime!$H:$H,Overtime!$B:$B,$A186,Overtime!$M:$M,$B$2))</f>
        <v/>
      </c>
    </row>
    <row r="187">
      <c r="I187">
        <f>IF($A187="","",SUMIFS(Overtime!$H:$H,Overtime!$B:$B,$A187,Overtime!$M:$M,$B$2))</f>
        <v/>
      </c>
    </row>
    <row r="188">
      <c r="I188">
        <f>IF($A188="","",SUMIFS(Overtime!$H:$H,Overtime!$B:$B,$A188,Overtime!$M:$M,$B$2))</f>
        <v/>
      </c>
    </row>
    <row r="189">
      <c r="I189">
        <f>IF($A189="","",SUMIFS(Overtime!$H:$H,Overtime!$B:$B,$A189,Overtime!$M:$M,$B$2))</f>
        <v/>
      </c>
    </row>
    <row r="190">
      <c r="I190">
        <f>IF($A190="","",SUMIFS(Overtime!$H:$H,Overtime!$B:$B,$A190,Overtime!$M:$M,$B$2))</f>
        <v/>
      </c>
    </row>
    <row r="191">
      <c r="I191">
        <f>IF($A191="","",SUMIFS(Overtime!$H:$H,Overtime!$B:$B,$A191,Overtime!$M:$M,$B$2))</f>
        <v/>
      </c>
    </row>
    <row r="192">
      <c r="I192">
        <f>IF($A192="","",SUMIFS(Overtime!$H:$H,Overtime!$B:$B,$A192,Overtime!$M:$M,$B$2))</f>
        <v/>
      </c>
    </row>
    <row r="193">
      <c r="I193">
        <f>IF($A193="","",SUMIFS(Overtime!$H:$H,Overtime!$B:$B,$A193,Overtime!$M:$M,$B$2))</f>
        <v/>
      </c>
    </row>
    <row r="194">
      <c r="I194">
        <f>IF($A194="","",SUMIFS(Overtime!$H:$H,Overtime!$B:$B,$A194,Overtime!$M:$M,$B$2))</f>
        <v/>
      </c>
    </row>
    <row r="195">
      <c r="I195">
        <f>IF($A195="","",SUMIFS(Overtime!$H:$H,Overtime!$B:$B,$A195,Overtime!$M:$M,$B$2))</f>
        <v/>
      </c>
    </row>
    <row r="196">
      <c r="I196">
        <f>IF($A196="","",SUMIFS(Overtime!$H:$H,Overtime!$B:$B,$A196,Overtime!$M:$M,$B$2))</f>
        <v/>
      </c>
    </row>
    <row r="197">
      <c r="I197">
        <f>IF($A197="","",SUMIFS(Overtime!$H:$H,Overtime!$B:$B,$A197,Overtime!$M:$M,$B$2))</f>
        <v/>
      </c>
    </row>
    <row r="198">
      <c r="I198">
        <f>IF($A198="","",SUMIFS(Overtime!$H:$H,Overtime!$B:$B,$A198,Overtime!$M:$M,$B$2))</f>
        <v/>
      </c>
    </row>
    <row r="199">
      <c r="I199">
        <f>IF($A199="","",SUMIFS(Overtime!$H:$H,Overtime!$B:$B,$A199,Overtime!$M:$M,$B$2))</f>
        <v/>
      </c>
    </row>
    <row r="200">
      <c r="I200">
        <f>IF($A200="","",SUMIFS(Overtime!$H:$H,Overtime!$B:$B,$A200,Overtime!$M:$M,$B$2))</f>
        <v/>
      </c>
    </row>
    <row r="201">
      <c r="I201">
        <f>IF($A201="","",SUMIFS(Overtime!$H:$H,Overtime!$B:$B,$A201,Overtime!$M:$M,$B$2))</f>
        <v/>
      </c>
    </row>
    <row r="202">
      <c r="I202">
        <f>IF($A202="","",SUMIFS(Overtime!$H:$H,Overtime!$B:$B,$A202,Overtime!$M:$M,$B$2))</f>
        <v/>
      </c>
    </row>
    <row r="203">
      <c r="I203">
        <f>IF($A203="","",SUMIFS(Overtime!$H:$H,Overtime!$B:$B,$A203,Overtime!$M:$M,$B$2))</f>
        <v/>
      </c>
    </row>
    <row r="204">
      <c r="I204">
        <f>IF($A204="","",SUMIFS(Overtime!$H:$H,Overtime!$B:$B,$A204,Overtime!$M:$M,$B$2))</f>
        <v/>
      </c>
    </row>
    <row r="205">
      <c r="I205">
        <f>IF($A205="","",SUMIFS(Overtime!$H:$H,Overtime!$B:$B,$A205,Overtime!$M:$M,$B$2))</f>
        <v/>
      </c>
    </row>
    <row r="206">
      <c r="I206">
        <f>IF($A206="","",SUMIFS(Overtime!$H:$H,Overtime!$B:$B,$A206,Overtime!$M:$M,$B$2))</f>
        <v/>
      </c>
    </row>
    <row r="207">
      <c r="I207">
        <f>IF($A207="","",SUMIFS(Overtime!$H:$H,Overtime!$B:$B,$A207,Overtime!$M:$M,$B$2))</f>
        <v/>
      </c>
    </row>
    <row r="208">
      <c r="I208">
        <f>IF($A208="","",SUMIFS(Overtime!$H:$H,Overtime!$B:$B,$A208,Overtime!$M:$M,$B$2))</f>
        <v/>
      </c>
    </row>
    <row r="209">
      <c r="I209">
        <f>IF($A209="","",SUMIFS(Overtime!$H:$H,Overtime!$B:$B,$A209,Overtime!$M:$M,$B$2))</f>
        <v/>
      </c>
    </row>
    <row r="210">
      <c r="I210">
        <f>IF($A210="","",SUMIFS(Overtime!$H:$H,Overtime!$B:$B,$A210,Overtime!$M:$M,$B$2))</f>
        <v/>
      </c>
    </row>
    <row r="211">
      <c r="I211">
        <f>IF($A211="","",SUMIFS(Overtime!$H:$H,Overtime!$B:$B,$A211,Overtime!$M:$M,$B$2))</f>
        <v/>
      </c>
    </row>
    <row r="212">
      <c r="I212">
        <f>IF($A212="","",SUMIFS(Overtime!$H:$H,Overtime!$B:$B,$A212,Overtime!$M:$M,$B$2))</f>
        <v/>
      </c>
    </row>
    <row r="213">
      <c r="I213">
        <f>IF($A213="","",SUMIFS(Overtime!$H:$H,Overtime!$B:$B,$A213,Overtime!$M:$M,$B$2))</f>
        <v/>
      </c>
    </row>
    <row r="214">
      <c r="I214">
        <f>IF($A214="","",SUMIFS(Overtime!$H:$H,Overtime!$B:$B,$A214,Overtime!$M:$M,$B$2))</f>
        <v/>
      </c>
    </row>
    <row r="215">
      <c r="I215">
        <f>IF($A215="","",SUMIFS(Overtime!$H:$H,Overtime!$B:$B,$A215,Overtime!$M:$M,$B$2))</f>
        <v/>
      </c>
    </row>
    <row r="216">
      <c r="I216">
        <f>IF($A216="","",SUMIFS(Overtime!$H:$H,Overtime!$B:$B,$A216,Overtime!$M:$M,$B$2))</f>
        <v/>
      </c>
    </row>
    <row r="217">
      <c r="I217">
        <f>IF($A217="","",SUMIFS(Overtime!$H:$H,Overtime!$B:$B,$A217,Overtime!$M:$M,$B$2))</f>
        <v/>
      </c>
    </row>
    <row r="218">
      <c r="I218">
        <f>IF($A218="","",SUMIFS(Overtime!$H:$H,Overtime!$B:$B,$A218,Overtime!$M:$M,$B$2))</f>
        <v/>
      </c>
    </row>
    <row r="219">
      <c r="I219">
        <f>IF($A219="","",SUMIFS(Overtime!$H:$H,Overtime!$B:$B,$A219,Overtime!$M:$M,$B$2))</f>
        <v/>
      </c>
    </row>
    <row r="220">
      <c r="I220">
        <f>IF($A220="","",SUMIFS(Overtime!$H:$H,Overtime!$B:$B,$A220,Overtime!$M:$M,$B$2))</f>
        <v/>
      </c>
    </row>
    <row r="221">
      <c r="I221">
        <f>IF($A221="","",SUMIFS(Overtime!$H:$H,Overtime!$B:$B,$A221,Overtime!$M:$M,$B$2))</f>
        <v/>
      </c>
    </row>
    <row r="222">
      <c r="I222">
        <f>IF($A222="","",SUMIFS(Overtime!$H:$H,Overtime!$B:$B,$A222,Overtime!$M:$M,$B$2))</f>
        <v/>
      </c>
    </row>
    <row r="223">
      <c r="I223">
        <f>IF($A223="","",SUMIFS(Overtime!$H:$H,Overtime!$B:$B,$A223,Overtime!$M:$M,$B$2))</f>
        <v/>
      </c>
    </row>
    <row r="224">
      <c r="I224">
        <f>IF($A224="","",SUMIFS(Overtime!$H:$H,Overtime!$B:$B,$A224,Overtime!$M:$M,$B$2))</f>
        <v/>
      </c>
    </row>
    <row r="225">
      <c r="I225">
        <f>IF($A225="","",SUMIFS(Overtime!$H:$H,Overtime!$B:$B,$A225,Overtime!$M:$M,$B$2))</f>
        <v/>
      </c>
    </row>
    <row r="226">
      <c r="I226">
        <f>IF($A226="","",SUMIFS(Overtime!$H:$H,Overtime!$B:$B,$A226,Overtime!$M:$M,$B$2))</f>
        <v/>
      </c>
    </row>
    <row r="227">
      <c r="I227">
        <f>IF($A227="","",SUMIFS(Overtime!$H:$H,Overtime!$B:$B,$A227,Overtime!$M:$M,$B$2))</f>
        <v/>
      </c>
    </row>
    <row r="228">
      <c r="I228">
        <f>IF($A228="","",SUMIFS(Overtime!$H:$H,Overtime!$B:$B,$A228,Overtime!$M:$M,$B$2))</f>
        <v/>
      </c>
    </row>
    <row r="229">
      <c r="I229">
        <f>IF($A229="","",SUMIFS(Overtime!$H:$H,Overtime!$B:$B,$A229,Overtime!$M:$M,$B$2))</f>
        <v/>
      </c>
    </row>
    <row r="230">
      <c r="I230">
        <f>IF($A230="","",SUMIFS(Overtime!$H:$H,Overtime!$B:$B,$A230,Overtime!$M:$M,$B$2))</f>
        <v/>
      </c>
    </row>
    <row r="231">
      <c r="I231">
        <f>IF($A231="","",SUMIFS(Overtime!$H:$H,Overtime!$B:$B,$A231,Overtime!$M:$M,$B$2))</f>
        <v/>
      </c>
    </row>
    <row r="232">
      <c r="I232">
        <f>IF($A232="","",SUMIFS(Overtime!$H:$H,Overtime!$B:$B,$A232,Overtime!$M:$M,$B$2))</f>
        <v/>
      </c>
    </row>
    <row r="233">
      <c r="I233">
        <f>IF($A233="","",SUMIFS(Overtime!$H:$H,Overtime!$B:$B,$A233,Overtime!$M:$M,$B$2))</f>
        <v/>
      </c>
    </row>
    <row r="234">
      <c r="I234">
        <f>IF($A234="","",SUMIFS(Overtime!$H:$H,Overtime!$B:$B,$A234,Overtime!$M:$M,$B$2))</f>
        <v/>
      </c>
    </row>
    <row r="235">
      <c r="I235">
        <f>IF($A235="","",SUMIFS(Overtime!$H:$H,Overtime!$B:$B,$A235,Overtime!$M:$M,$B$2))</f>
        <v/>
      </c>
    </row>
    <row r="236">
      <c r="I236">
        <f>IF($A236="","",SUMIFS(Overtime!$H:$H,Overtime!$B:$B,$A236,Overtime!$M:$M,$B$2))</f>
        <v/>
      </c>
    </row>
    <row r="237">
      <c r="I237">
        <f>IF($A237="","",SUMIFS(Overtime!$H:$H,Overtime!$B:$B,$A237,Overtime!$M:$M,$B$2))</f>
        <v/>
      </c>
    </row>
    <row r="238">
      <c r="I238">
        <f>IF($A238="","",SUMIFS(Overtime!$H:$H,Overtime!$B:$B,$A238,Overtime!$M:$M,$B$2))</f>
        <v/>
      </c>
    </row>
    <row r="239">
      <c r="I239">
        <f>IF($A239="","",SUMIFS(Overtime!$H:$H,Overtime!$B:$B,$A239,Overtime!$M:$M,$B$2))</f>
        <v/>
      </c>
    </row>
    <row r="240">
      <c r="I240">
        <f>IF($A240="","",SUMIFS(Overtime!$H:$H,Overtime!$B:$B,$A240,Overtime!$M:$M,$B$2))</f>
        <v/>
      </c>
    </row>
    <row r="241">
      <c r="I241">
        <f>IF($A241="","",SUMIFS(Overtime!$H:$H,Overtime!$B:$B,$A241,Overtime!$M:$M,$B$2))</f>
        <v/>
      </c>
    </row>
    <row r="242">
      <c r="I242">
        <f>IF($A242="","",SUMIFS(Overtime!$H:$H,Overtime!$B:$B,$A242,Overtime!$M:$M,$B$2))</f>
        <v/>
      </c>
    </row>
    <row r="243">
      <c r="I243">
        <f>IF($A243="","",SUMIFS(Overtime!$H:$H,Overtime!$B:$B,$A243,Overtime!$M:$M,$B$2))</f>
        <v/>
      </c>
    </row>
    <row r="244">
      <c r="I244">
        <f>IF($A244="","",SUMIFS(Overtime!$H:$H,Overtime!$B:$B,$A244,Overtime!$M:$M,$B$2))</f>
        <v/>
      </c>
    </row>
    <row r="245">
      <c r="I245">
        <f>IF($A245="","",SUMIFS(Overtime!$H:$H,Overtime!$B:$B,$A245,Overtime!$M:$M,$B$2))</f>
        <v/>
      </c>
    </row>
    <row r="246">
      <c r="I246">
        <f>IF($A246="","",SUMIFS(Overtime!$H:$H,Overtime!$B:$B,$A246,Overtime!$M:$M,$B$2))</f>
        <v/>
      </c>
    </row>
    <row r="247">
      <c r="I247">
        <f>IF($A247="","",SUMIFS(Overtime!$H:$H,Overtime!$B:$B,$A247,Overtime!$M:$M,$B$2))</f>
        <v/>
      </c>
    </row>
    <row r="248">
      <c r="I248">
        <f>IF($A248="","",SUMIFS(Overtime!$H:$H,Overtime!$B:$B,$A248,Overtime!$M:$M,$B$2))</f>
        <v/>
      </c>
    </row>
    <row r="249">
      <c r="I249">
        <f>IF($A249="","",SUMIFS(Overtime!$H:$H,Overtime!$B:$B,$A249,Overtime!$M:$M,$B$2))</f>
        <v/>
      </c>
    </row>
    <row r="250">
      <c r="I250">
        <f>IF($A250="","",SUMIFS(Overtime!$H:$H,Overtime!$B:$B,$A250,Overtime!$M:$M,$B$2))</f>
        <v/>
      </c>
    </row>
    <row r="251">
      <c r="I251">
        <f>IF($A251="","",SUMIFS(Overtime!$H:$H,Overtime!$B:$B,$A251,Overtime!$M:$M,$B$2))</f>
        <v/>
      </c>
    </row>
    <row r="252">
      <c r="I252">
        <f>IF($A252="","",SUMIFS(Overtime!$H:$H,Overtime!$B:$B,$A252,Overtime!$M:$M,$B$2))</f>
        <v/>
      </c>
    </row>
    <row r="253">
      <c r="I253">
        <f>IF($A253="","",SUMIFS(Overtime!$H:$H,Overtime!$B:$B,$A253,Overtime!$M:$M,$B$2))</f>
        <v/>
      </c>
    </row>
    <row r="254">
      <c r="I254">
        <f>IF($A254="","",SUMIFS(Overtime!$H:$H,Overtime!$B:$B,$A254,Overtime!$M:$M,$B$2))</f>
        <v/>
      </c>
    </row>
    <row r="255">
      <c r="I255">
        <f>IF($A255="","",SUMIFS(Overtime!$H:$H,Overtime!$B:$B,$A255,Overtime!$M:$M,$B$2))</f>
        <v/>
      </c>
    </row>
    <row r="256">
      <c r="I256">
        <f>IF($A256="","",SUMIFS(Overtime!$H:$H,Overtime!$B:$B,$A256,Overtime!$M:$M,$B$2))</f>
        <v/>
      </c>
    </row>
    <row r="257">
      <c r="I257">
        <f>IF($A257="","",SUMIFS(Overtime!$H:$H,Overtime!$B:$B,$A257,Overtime!$M:$M,$B$2))</f>
        <v/>
      </c>
    </row>
    <row r="258">
      <c r="I258">
        <f>IF($A258="","",SUMIFS(Overtime!$H:$H,Overtime!$B:$B,$A258,Overtime!$M:$M,$B$2))</f>
        <v/>
      </c>
    </row>
    <row r="259">
      <c r="I259">
        <f>IF($A259="","",SUMIFS(Overtime!$H:$H,Overtime!$B:$B,$A259,Overtime!$M:$M,$B$2))</f>
        <v/>
      </c>
    </row>
    <row r="260">
      <c r="I260">
        <f>IF($A260="","",SUMIFS(Overtime!$H:$H,Overtime!$B:$B,$A260,Overtime!$M:$M,$B$2))</f>
        <v/>
      </c>
    </row>
    <row r="261">
      <c r="I261">
        <f>IF($A261="","",SUMIFS(Overtime!$H:$H,Overtime!$B:$B,$A261,Overtime!$M:$M,$B$2))</f>
        <v/>
      </c>
    </row>
    <row r="262">
      <c r="I262">
        <f>IF($A262="","",SUMIFS(Overtime!$H:$H,Overtime!$B:$B,$A262,Overtime!$M:$M,$B$2))</f>
        <v/>
      </c>
    </row>
    <row r="263">
      <c r="I263">
        <f>IF($A263="","",SUMIFS(Overtime!$H:$H,Overtime!$B:$B,$A263,Overtime!$M:$M,$B$2))</f>
        <v/>
      </c>
    </row>
    <row r="264">
      <c r="I264">
        <f>IF($A264="","",SUMIFS(Overtime!$H:$H,Overtime!$B:$B,$A264,Overtime!$M:$M,$B$2))</f>
        <v/>
      </c>
    </row>
    <row r="265">
      <c r="I265">
        <f>IF($A265="","",SUMIFS(Overtime!$H:$H,Overtime!$B:$B,$A265,Overtime!$M:$M,$B$2))</f>
        <v/>
      </c>
    </row>
    <row r="266">
      <c r="I266">
        <f>IF($A266="","",SUMIFS(Overtime!$H:$H,Overtime!$B:$B,$A266,Overtime!$M:$M,$B$2))</f>
        <v/>
      </c>
    </row>
    <row r="267">
      <c r="I267">
        <f>IF($A267="","",SUMIFS(Overtime!$H:$H,Overtime!$B:$B,$A267,Overtime!$M:$M,$B$2))</f>
        <v/>
      </c>
    </row>
    <row r="268">
      <c r="I268">
        <f>IF($A268="","",SUMIFS(Overtime!$H:$H,Overtime!$B:$B,$A268,Overtime!$M:$M,$B$2))</f>
        <v/>
      </c>
    </row>
    <row r="269">
      <c r="I269">
        <f>IF($A269="","",SUMIFS(Overtime!$H:$H,Overtime!$B:$B,$A269,Overtime!$M:$M,$B$2))</f>
        <v/>
      </c>
    </row>
    <row r="270">
      <c r="I270">
        <f>IF($A270="","",SUMIFS(Overtime!$H:$H,Overtime!$B:$B,$A270,Overtime!$M:$M,$B$2))</f>
        <v/>
      </c>
    </row>
    <row r="271">
      <c r="I271">
        <f>IF($A271="","",SUMIFS(Overtime!$H:$H,Overtime!$B:$B,$A271,Overtime!$M:$M,$B$2))</f>
        <v/>
      </c>
    </row>
    <row r="272">
      <c r="I272">
        <f>IF($A272="","",SUMIFS(Overtime!$H:$H,Overtime!$B:$B,$A272,Overtime!$M:$M,$B$2))</f>
        <v/>
      </c>
    </row>
    <row r="273">
      <c r="I273">
        <f>IF($A273="","",SUMIFS(Overtime!$H:$H,Overtime!$B:$B,$A273,Overtime!$M:$M,$B$2))</f>
        <v/>
      </c>
    </row>
    <row r="274">
      <c r="I274">
        <f>IF($A274="","",SUMIFS(Overtime!$H:$H,Overtime!$B:$B,$A274,Overtime!$M:$M,$B$2))</f>
        <v/>
      </c>
    </row>
    <row r="275">
      <c r="I275">
        <f>IF($A275="","",SUMIFS(Overtime!$H:$H,Overtime!$B:$B,$A275,Overtime!$M:$M,$B$2))</f>
        <v/>
      </c>
    </row>
    <row r="276">
      <c r="I276">
        <f>IF($A276="","",SUMIFS(Overtime!$H:$H,Overtime!$B:$B,$A276,Overtime!$M:$M,$B$2))</f>
        <v/>
      </c>
    </row>
    <row r="277">
      <c r="I277">
        <f>IF($A277="","",SUMIFS(Overtime!$H:$H,Overtime!$B:$B,$A277,Overtime!$M:$M,$B$2))</f>
        <v/>
      </c>
    </row>
    <row r="278">
      <c r="I278">
        <f>IF($A278="","",SUMIFS(Overtime!$H:$H,Overtime!$B:$B,$A278,Overtime!$M:$M,$B$2))</f>
        <v/>
      </c>
    </row>
    <row r="279">
      <c r="I279">
        <f>IF($A279="","",SUMIFS(Overtime!$H:$H,Overtime!$B:$B,$A279,Overtime!$M:$M,$B$2))</f>
        <v/>
      </c>
    </row>
    <row r="280">
      <c r="I280">
        <f>IF($A280="","",SUMIFS(Overtime!$H:$H,Overtime!$B:$B,$A280,Overtime!$M:$M,$B$2))</f>
        <v/>
      </c>
    </row>
    <row r="281">
      <c r="I281">
        <f>IF($A281="","",SUMIFS(Overtime!$H:$H,Overtime!$B:$B,$A281,Overtime!$M:$M,$B$2))</f>
        <v/>
      </c>
    </row>
    <row r="282">
      <c r="I282">
        <f>IF($A282="","",SUMIFS(Overtime!$H:$H,Overtime!$B:$B,$A282,Overtime!$M:$M,$B$2))</f>
        <v/>
      </c>
    </row>
    <row r="283">
      <c r="I283">
        <f>IF($A283="","",SUMIFS(Overtime!$H:$H,Overtime!$B:$B,$A283,Overtime!$M:$M,$B$2))</f>
        <v/>
      </c>
    </row>
    <row r="284">
      <c r="I284">
        <f>IF($A284="","",SUMIFS(Overtime!$H:$H,Overtime!$B:$B,$A284,Overtime!$M:$M,$B$2))</f>
        <v/>
      </c>
    </row>
    <row r="285">
      <c r="I285">
        <f>IF($A285="","",SUMIFS(Overtime!$H:$H,Overtime!$B:$B,$A285,Overtime!$M:$M,$B$2))</f>
        <v/>
      </c>
    </row>
    <row r="286">
      <c r="I286">
        <f>IF($A286="","",SUMIFS(Overtime!$H:$H,Overtime!$B:$B,$A286,Overtime!$M:$M,$B$2))</f>
        <v/>
      </c>
    </row>
    <row r="287">
      <c r="I287">
        <f>IF($A287="","",SUMIFS(Overtime!$H:$H,Overtime!$B:$B,$A287,Overtime!$M:$M,$B$2))</f>
        <v/>
      </c>
    </row>
    <row r="288">
      <c r="I288">
        <f>IF($A288="","",SUMIFS(Overtime!$H:$H,Overtime!$B:$B,$A288,Overtime!$M:$M,$B$2))</f>
        <v/>
      </c>
    </row>
    <row r="289">
      <c r="I289">
        <f>IF($A289="","",SUMIFS(Overtime!$H:$H,Overtime!$B:$B,$A289,Overtime!$M:$M,$B$2))</f>
        <v/>
      </c>
    </row>
    <row r="290">
      <c r="I290">
        <f>IF($A290="","",SUMIFS(Overtime!$H:$H,Overtime!$B:$B,$A290,Overtime!$M:$M,$B$2))</f>
        <v/>
      </c>
    </row>
    <row r="291">
      <c r="I291">
        <f>IF($A291="","",SUMIFS(Overtime!$H:$H,Overtime!$B:$B,$A291,Overtime!$M:$M,$B$2))</f>
        <v/>
      </c>
    </row>
    <row r="292">
      <c r="I292">
        <f>IF($A292="","",SUMIFS(Overtime!$H:$H,Overtime!$B:$B,$A292,Overtime!$M:$M,$B$2))</f>
        <v/>
      </c>
    </row>
    <row r="293">
      <c r="I293">
        <f>IF($A293="","",SUMIFS(Overtime!$H:$H,Overtime!$B:$B,$A293,Overtime!$M:$M,$B$2))</f>
        <v/>
      </c>
    </row>
    <row r="294">
      <c r="I294">
        <f>IF($A294="","",SUMIFS(Overtime!$H:$H,Overtime!$B:$B,$A294,Overtime!$M:$M,$B$2))</f>
        <v/>
      </c>
    </row>
    <row r="295">
      <c r="I295">
        <f>IF($A295="","",SUMIFS(Overtime!$H:$H,Overtime!$B:$B,$A295,Overtime!$M:$M,$B$2))</f>
        <v/>
      </c>
    </row>
    <row r="296">
      <c r="I296">
        <f>IF($A296="","",SUMIFS(Overtime!$H:$H,Overtime!$B:$B,$A296,Overtime!$M:$M,$B$2))</f>
        <v/>
      </c>
    </row>
    <row r="297">
      <c r="I297">
        <f>IF($A297="","",SUMIFS(Overtime!$H:$H,Overtime!$B:$B,$A297,Overtime!$M:$M,$B$2))</f>
        <v/>
      </c>
    </row>
    <row r="298">
      <c r="I298">
        <f>IF($A298="","",SUMIFS(Overtime!$H:$H,Overtime!$B:$B,$A298,Overtime!$M:$M,$B$2))</f>
        <v/>
      </c>
    </row>
    <row r="299">
      <c r="I299">
        <f>IF($A299="","",SUMIFS(Overtime!$H:$H,Overtime!$B:$B,$A299,Overtime!$M:$M,$B$2))</f>
        <v/>
      </c>
    </row>
    <row r="300">
      <c r="I300">
        <f>IF($A300="","",SUMIFS(Overtime!$H:$H,Overtime!$B:$B,$A300,Overtime!$M:$M,$B$2))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6" customWidth="1" min="4" max="4"/>
    <col width="5" customWidth="1" min="5" max="5"/>
    <col width="12" customWidth="1" min="6" max="6"/>
    <col width="16" customWidth="1" min="7" max="7"/>
    <col width="18" customWidth="1" min="8" max="8"/>
    <col width="8" customWidth="1" min="9" max="9"/>
    <col width="9" customWidth="1" min="10" max="10"/>
    <col width="7" customWidth="1" min="11" max="11"/>
    <col width="7" customWidth="1" min="12" max="12"/>
    <col width="7" customWidth="1" min="13" max="13"/>
    <col width="20" customWidth="1" min="14" max="14"/>
    <col width="16" customWidth="1" min="15" max="15"/>
    <col width="6" customWidth="1" min="16" max="16"/>
    <col width="11" customWidth="1" min="17" max="17"/>
    <col width="28" customWidth="1" min="18" max="18"/>
    <col width="22" customWidth="1" min="19" max="19"/>
  </cols>
  <sheetData>
    <row r="1">
      <c r="A1" s="4" t="inlineStr">
        <is>
          <t>Date</t>
        </is>
      </c>
      <c r="B1" s="4" t="inlineStr">
        <is>
          <t>Day</t>
        </is>
      </c>
      <c r="C1" s="4" t="inlineStr">
        <is>
          <t>Type</t>
        </is>
      </c>
      <c r="D1" s="4" t="inlineStr">
        <is>
          <t>Account</t>
        </is>
      </c>
      <c r="E1" s="4" t="inlineStr">
        <is>
          <t>Slot</t>
        </is>
      </c>
      <c r="F1" s="4" t="inlineStr">
        <is>
          <t>Time</t>
        </is>
      </c>
      <c r="G1" s="4" t="inlineStr">
        <is>
          <t>Player</t>
        </is>
      </c>
      <c r="H1" s="4" t="inlineStr">
        <is>
          <t>Hunting Ground</t>
        </is>
      </c>
      <c r="I1" s="4" t="inlineStr">
        <is>
          <t>KPI</t>
        </is>
      </c>
      <c r="J1" s="4" t="inlineStr">
        <is>
          <t>Gold</t>
        </is>
      </c>
      <c r="K1" s="4" t="inlineStr">
        <is>
          <t>E-Red</t>
        </is>
      </c>
      <c r="L1" s="4" t="inlineStr">
        <is>
          <t>E-Green</t>
        </is>
      </c>
      <c r="M1" s="4" t="inlineStr">
        <is>
          <t>E-Purple</t>
        </is>
      </c>
      <c r="N1" s="4" t="inlineStr">
        <is>
          <t>Note</t>
        </is>
      </c>
      <c r="O1" s="4" t="inlineStr">
        <is>
          <t>Updated</t>
        </is>
      </c>
      <c r="P1" s="11" t="inlineStr">
        <is>
          <t>Hours</t>
        </is>
      </c>
      <c r="Q1" s="11" t="inlineStr">
        <is>
          <t>Week</t>
        </is>
      </c>
      <c r="R1" s="11" t="inlineStr">
        <is>
          <t>Key</t>
        </is>
      </c>
      <c r="S1" s="11" t="inlineStr">
        <is>
          <t>Display</t>
        </is>
      </c>
      <c r="T1" s="11" t="inlineStr">
        <is>
          <t>Maint Hrs</t>
        </is>
      </c>
      <c r="U1" s="11" t="inlineStr">
        <is>
          <t>Pay Week</t>
        </is>
      </c>
    </row>
    <row r="2">
      <c r="A2" t="inlineStr">
        <is>
          <t>2026-09-20</t>
        </is>
      </c>
      <c r="B2" t="inlineStr">
        <is>
          <t>Sun</t>
        </is>
      </c>
      <c r="C2" t="inlineStr">
        <is>
          <t>Client</t>
        </is>
      </c>
      <c r="D2" t="inlineStr">
        <is>
          <t>ADA</t>
        </is>
      </c>
      <c r="E2" t="n">
        <v>1</v>
      </c>
      <c r="F2" t="inlineStr">
        <is>
          <t>09:00-17:00</t>
        </is>
      </c>
      <c r="G2" t="inlineStr">
        <is>
          <t>Cejay</t>
        </is>
      </c>
      <c r="P2">
        <f>ARRAYFORMULA(IF(A2:A50000="",,IF((F2:F50000="OFF")+(G2:G50000=""),0,IFERROR(MOD((VALUE(REGEXEXTRACT(F2:F50000,"-(\d+):"))+VALUE(REGEXEXTRACT(F2:F50000,"-\d+:(\d+)"))/60)-(VALUE(REGEXEXTRACT(F2:F50000,"^(\d+):"))+VALUE(REGEXEXTRACT(F2:F50000,"^\d+:(\d+)"))/60),24)-T2:T50000,0))))</f>
        <v/>
      </c>
      <c r="Q2">
        <f>ARRAYFORMULA(IF(A2:A50000="",,TEXT(IF(ISNUMBER(A2:A50000),A2:A50000,IFERROR(DATEVALUE(A2:A50000)))-WEEKDAY(IF(ISNUMBER(A2:A50000),A2:A50000,IFERROR(DATEVALUE(A2:A50000))))+1,"yyyy-mm-dd")))</f>
        <v/>
      </c>
      <c r="R2">
        <f>ARRAYFORMULA(IF(A2:A50000="",,TEXT(IF(ISNUMBER(A2:A50000),A2:A50000,IFERROR(DATEVALUE(A2:A50000))),"yyyy-mm-dd")&amp;"|"&amp;D2:D50000&amp;"|"&amp;E2:E50000))</f>
        <v/>
      </c>
      <c r="S2">
        <f>ARRAYFORMULA(IF(A2:A50000="",,IF(F2:F50000="OFF","OFF",F2:F50000&amp;IF(G2:G50000="","",CHAR(10)&amp;G2:G50000)&amp;IF(H2:H50000="","",CHAR(10)&amp;"@"&amp;H2:H50000)&amp;IF(T2:T50000&gt;0,CHAR(10)&amp;"⚙ maint -"&amp;T2:T50000&amp;"h",""))))</f>
        <v/>
      </c>
      <c r="T2">
        <f>ARRAYFORMULA(IF(A2:A50000="",,IF(F2:F50000="OFF",0,IFERROR(IFERROR(IF(WEEKDAY(IF(ISNUMBER(A2:A50000),A2:A50000,IFERROR(DATEVALUE(A2:A50000))))=((FIND(LEFT('Settings'!$B$2,3),"SunMonTueWedThuFriSat")+2)/3),IF(IF(((VALUE(REGEXEXTRACT(F2:F50000,"^(\d+):"))+VALUE(REGEXEXTRACT(F2:F50000,"^\d+:(\d+)"))/60)+MOD((VALUE(REGEXEXTRACT(F2:F50000,"-(\d+):"))+VALUE(REGEXEXTRACT(F2:F50000,"-\d+:(\d+)"))/60)-(VALUE(REGEXEXTRACT(F2:F50000,"^(\d+):"))+VALUE(REGEXEXTRACT(F2:F50000,"^\d+:(\d+)"))/60),24))&lt;(HOUR('Settings'!$B$4)+MINUTE('Settings'!$B$4)/60),((VALUE(REGEXEXTRACT(F2:F50000,"^(\d+):"))+VALUE(REGEXEXTRACT(F2:F50000,"^\d+:(\d+)"))/60)+MOD((VALUE(REGEXEXTRACT(F2:F50000,"-(\d+):"))+VALUE(REGEXEXTRACT(F2:F50000,"-\d+:(\d+)"))/60)-(VALUE(REGEXEXTRACT(F2:F50000,"^(\d+):"))+VALUE(REGEXEXTRACT(F2:F50000,"^\d+:(\d+)"))/60),24)),(HOUR('Settings'!$B$4)+MINUTE('Settings'!$B$4)/60))-IF((VALUE(REGEXEXTRACT(F2:F50000,"^(\d+):"))+VALUE(REGEXEXTRACT(F2:F50000,"^\d+:(\d+)"))/60)&gt;(HOUR('Settings'!$B$3)+MINUTE('Settings'!$B$3)/60),(VALUE(REGEXEXTRACT(F2:F50000,"^(\d+):"))+VALUE(REGEXEXTRACT(F2:F50000,"^\d+:(\d+)"))/60),(HOUR('Settings'!$B$3)+MINUTE('Settings'!$B$3)/60))&gt;0,IF(((VALUE(REGEXEXTRACT(F2:F50000,"^(\d+):"))+VALUE(REGEXEXTRACT(F2:F50000,"^\d+:(\d+)"))/60)+MOD((VALUE(REGEXEXTRACT(F2:F50000,"-(\d+):"))+VALUE(REGEXEXTRACT(F2:F50000,"-\d+:(\d+)"))/60)-(VALUE(REGEXEXTRACT(F2:F50000,"^(\d+):"))+VALUE(REGEXEXTRACT(F2:F50000,"^\d+:(\d+)"))/60),24))&lt;(HOUR('Settings'!$B$4)+MINUTE('Settings'!$B$4)/60),((VALUE(REGEXEXTRACT(F2:F50000,"^(\d+):"))+VALUE(REGEXEXTRACT(F2:F50000,"^\d+:(\d+)"))/60)+MOD((VALUE(REGEXEXTRACT(F2:F50000,"-(\d+):"))+VALUE(REGEXEXTRACT(F2:F50000,"-\d+:(\d+)"))/60)-(VALUE(REGEXEXTRACT(F2:F50000,"^(\d+):"))+VALUE(REGEXEXTRACT(F2:F50000,"^\d+:(\d+)"))/60),24)),(HOUR('Settings'!$B$4)+MINUTE('Settings'!$B$4)/60))-IF((VALUE(REGEXEXTRACT(F2:F50000,"^(\d+):"))+VALUE(REGEXEXTRACT(F2:F50000,"^\d+:(\d+)"))/60)&gt;(HOUR('Settings'!$B$3)+MINUTE('Settings'!$B$3)/60),(VALUE(REGEXEXTRACT(F2:F50000,"^(\d+):"))+VALUE(REGEXEXTRACT(F2:F50000,"^\d+:(\d+)"))/60),(HOUR('Settings'!$B$3)+MINUTE('Settings'!$B$3)/60)),0),0)+IF(WEEKDAY(IF(ISNUMBER(A2:A50000),A2:A50000,IFERROR(DATEVALUE(A2:A50000)))+1)=((FIND(LEFT('Settings'!$B$2,3),"SunMonTueWedThuFriSat")+2)/3),IF(IF(((VALUE(REGEXEXTRACT(F2:F50000,"^(\d+):"))+VALUE(REGEXEXTRACT(F2:F50000,"^\d+:(\d+)"))/60)+MOD((VALUE(REGEXEXTRACT(F2:F50000,"-(\d+):"))+VALUE(REGEXEXTRACT(F2:F50000,"-\d+:(\d+)"))/60)-(VALUE(REGEXEXTRACT(F2:F50000,"^(\d+):"))+VALUE(REGEXEXTRACT(F2:F50000,"^\d+:(\d+)"))/60),24))&lt;(24+(HOUR('Settings'!$B$4)+MINUTE('Settings'!$B$4)/60)),((VALUE(REGEXEXTRACT(F2:F50000,"^(\d+):"))+VALUE(REGEXEXTRACT(F2:F50000,"^\d+:(\d+)"))/60)+MOD((VALUE(REGEXEXTRACT(F2:F50000,"-(\d+):"))+VALUE(REGEXEXTRACT(F2:F50000,"-\d+:(\d+)"))/60)-(VALUE(REGEXEXTRACT(F2:F50000,"^(\d+):"))+VALUE(REGEXEXTRACT(F2:F50000,"^\d+:(\d+)"))/60),24)),(24+(HOUR('Settings'!$B$4)+MINUTE('Settings'!$B$4)/60)))-IF((VALUE(REGEXEXTRACT(F2:F50000,"^(\d+):"))+VALUE(REGEXEXTRACT(F2:F50000,"^\d+:(\d+)"))/60)&gt;(24+(HOUR('Settings'!$B$3)+MINUTE('Settings'!$B$3)/60)),(VALUE(REGEXEXTRACT(F2:F50000,"^(\d+):"))+VALUE(REGEXEXTRACT(F2:F50000,"^\d+:(\d+)"))/60),(24+(HOUR('Settings'!$B$3)+MINUTE('Settings'!$B$3)/60)))&gt;0,IF(((VALUE(REGEXEXTRACT(F2:F50000,"^(\d+):"))+VALUE(REGEXEXTRACT(F2:F50000,"^\d+:(\d+)"))/60)+MOD((VALUE(REGEXEXTRACT(F2:F50000,"-(\d+):"))+VALUE(REGEXEXTRACT(F2:F50000,"-\d+:(\d+)"))/60)-(VALUE(REGEXEXTRACT(F2:F50000,"^(\d+):"))+VALUE(REGEXEXTRACT(F2:F50000,"^\d+:(\d+)"))/60),24))&lt;(24+(HOUR('Settings'!$B$4)+MINUTE('Settings'!$B$4)/60)),((VALUE(REGEXEXTRACT(F2:F50000,"^(\d+):"))+VALUE(REGEXEXTRACT(F2:F50000,"^\d+:(\d+)"))/60)+MOD((VALUE(REGEXEXTRACT(F2:F50000,"-(\d+):"))+VALUE(REGEXEXTRACT(F2:F50000,"-\d+:(\d+)"))/60)-(VALUE(REGEXEXTRACT(F2:F50000,"^(\d+):"))+VALUE(REGEXEXTRACT(F2:F50000,"^\d+:(\d+)"))/60),24)),(24+(HOUR('Settings'!$B$4)+MINUTE('Settings'!$B$4)/60)))-IF((VALUE(REGEXEXTRACT(F2:F50000,"^(\d+):"))+VALUE(REGEXEXTRACT(F2:F50000,"^\d+:(\d+)"))/60)&gt;(24+(HOUR('Settings'!$B$3)+MINUTE('Settings'!$B$3)/60)),(VALUE(REGEXEXTRACT(F2:F50000,"^(\d+):"))+VALUE(REGEXEXTRACT(F2:F50000,"^\d+:(\d+)"))/60),(24+(HOUR('Settings'!$B$3)+MINUTE('Settings'!$B$3)/60))),0),0),0),0))))</f>
        <v/>
      </c>
      <c r="U2">
        <f>ARRAYFORMULA(IF(A2:A50000="",,TEXT(IF(ISNUMBER(A2:A50000),A2:A50000,IFERROR(DATEVALUE(A2:A50000)))-WEEKDAY(IF(ISNUMBER(A2:A50000),A2:A50000,IFERROR(DATEVALUE(A2:A50000))),3),"yyyy-mm-dd")))</f>
        <v/>
      </c>
    </row>
    <row r="3">
      <c r="A3" t="inlineStr">
        <is>
          <t>2026-09-20</t>
        </is>
      </c>
      <c r="B3" t="inlineStr">
        <is>
          <t>Sun</t>
        </is>
      </c>
      <c r="C3" t="inlineStr">
        <is>
          <t>Client</t>
        </is>
      </c>
      <c r="D3" t="inlineStr">
        <is>
          <t>ADA</t>
        </is>
      </c>
      <c r="E3" t="n">
        <v>2</v>
      </c>
      <c r="F3" t="inlineStr">
        <is>
          <t>OFF</t>
        </is>
      </c>
    </row>
    <row r="4">
      <c r="A4" t="inlineStr">
        <is>
          <t>2026-09-20</t>
        </is>
      </c>
      <c r="B4" t="inlineStr">
        <is>
          <t>Sun</t>
        </is>
      </c>
      <c r="C4" t="inlineStr">
        <is>
          <t>Client</t>
        </is>
      </c>
      <c r="D4" t="inlineStr">
        <is>
          <t>Alex</t>
        </is>
      </c>
      <c r="E4" t="n">
        <v>1</v>
      </c>
      <c r="F4" t="inlineStr">
        <is>
          <t>08:00-16:00</t>
        </is>
      </c>
      <c r="H4" t="inlineStr">
        <is>
          <t>Ivory Tower 4~5</t>
        </is>
      </c>
    </row>
    <row r="5">
      <c r="A5" t="inlineStr">
        <is>
          <t>2026-09-20</t>
        </is>
      </c>
      <c r="B5" t="inlineStr">
        <is>
          <t>Sun</t>
        </is>
      </c>
      <c r="C5" t="inlineStr">
        <is>
          <t>Client</t>
        </is>
      </c>
      <c r="D5" t="inlineStr">
        <is>
          <t>Alex</t>
        </is>
      </c>
      <c r="E5" t="n">
        <v>2</v>
      </c>
      <c r="F5" t="inlineStr">
        <is>
          <t>OFF</t>
        </is>
      </c>
      <c r="H5" t="inlineStr">
        <is>
          <t>Ivory Tower 6~7</t>
        </is>
      </c>
    </row>
    <row r="6">
      <c r="A6" t="inlineStr">
        <is>
          <t>2026-09-20</t>
        </is>
      </c>
      <c r="B6" t="inlineStr">
        <is>
          <t>Sun</t>
        </is>
      </c>
      <c r="C6" t="inlineStr">
        <is>
          <t>Client</t>
        </is>
      </c>
      <c r="D6" t="inlineStr">
        <is>
          <t>Alex</t>
        </is>
      </c>
      <c r="E6" t="n">
        <v>3</v>
      </c>
      <c r="F6" t="inlineStr">
        <is>
          <t>01:00-08:00</t>
        </is>
      </c>
      <c r="G6" t="inlineStr">
        <is>
          <t>Monteza</t>
        </is>
      </c>
      <c r="H6" t="inlineStr">
        <is>
          <t>Ivory Tower 4~5</t>
        </is>
      </c>
      <c r="I6" t="n">
        <v>0.0097</v>
      </c>
    </row>
    <row r="7">
      <c r="A7" t="inlineStr">
        <is>
          <t>2026-09-20</t>
        </is>
      </c>
      <c r="B7" t="inlineStr">
        <is>
          <t>Sun</t>
        </is>
      </c>
      <c r="C7" t="inlineStr">
        <is>
          <t>Client</t>
        </is>
      </c>
      <c r="D7" t="inlineStr">
        <is>
          <t>Beongaebul</t>
        </is>
      </c>
      <c r="E7" t="n">
        <v>1</v>
      </c>
      <c r="F7" t="inlineStr">
        <is>
          <t>OFF</t>
        </is>
      </c>
    </row>
    <row r="8">
      <c r="A8" t="inlineStr">
        <is>
          <t>2026-09-20</t>
        </is>
      </c>
      <c r="B8" t="inlineStr">
        <is>
          <t>Sun</t>
        </is>
      </c>
      <c r="C8" t="inlineStr">
        <is>
          <t>Client</t>
        </is>
      </c>
      <c r="D8" t="inlineStr">
        <is>
          <t>Captain</t>
        </is>
      </c>
      <c r="E8" t="n">
        <v>1</v>
      </c>
      <c r="F8" t="inlineStr">
        <is>
          <t>OFF</t>
        </is>
      </c>
    </row>
    <row r="9">
      <c r="A9" t="inlineStr">
        <is>
          <t>2026-09-20</t>
        </is>
      </c>
      <c r="B9" t="inlineStr">
        <is>
          <t>Sun</t>
        </is>
      </c>
      <c r="C9" t="inlineStr">
        <is>
          <t>Client</t>
        </is>
      </c>
      <c r="D9" t="inlineStr">
        <is>
          <t>Captain</t>
        </is>
      </c>
      <c r="E9" t="n">
        <v>2</v>
      </c>
      <c r="F9" t="inlineStr">
        <is>
          <t>OFF</t>
        </is>
      </c>
    </row>
    <row r="10">
      <c r="A10" t="inlineStr">
        <is>
          <t>2026-09-20</t>
        </is>
      </c>
      <c r="B10" t="inlineStr">
        <is>
          <t>Sun</t>
        </is>
      </c>
      <c r="C10" t="inlineStr">
        <is>
          <t>Client</t>
        </is>
      </c>
      <c r="D10" t="inlineStr">
        <is>
          <t>Dalo</t>
        </is>
      </c>
      <c r="E10" t="n">
        <v>1</v>
      </c>
      <c r="F10" t="inlineStr">
        <is>
          <t>OFF</t>
        </is>
      </c>
    </row>
    <row r="11">
      <c r="A11" t="inlineStr">
        <is>
          <t>2026-09-20</t>
        </is>
      </c>
      <c r="B11" t="inlineStr">
        <is>
          <t>Sun</t>
        </is>
      </c>
      <c r="C11" t="inlineStr">
        <is>
          <t>Client</t>
        </is>
      </c>
      <c r="D11" t="inlineStr">
        <is>
          <t>Dalo</t>
        </is>
      </c>
      <c r="E11" t="n">
        <v>2</v>
      </c>
      <c r="F11" t="inlineStr">
        <is>
          <t>OFF</t>
        </is>
      </c>
    </row>
    <row r="12">
      <c r="A12" t="inlineStr">
        <is>
          <t>2026-09-20</t>
        </is>
      </c>
      <c r="B12" t="inlineStr">
        <is>
          <t>Sun</t>
        </is>
      </c>
      <c r="C12" t="inlineStr">
        <is>
          <t>Client</t>
        </is>
      </c>
      <c r="D12" t="inlineStr">
        <is>
          <t>Dalo</t>
        </is>
      </c>
      <c r="E12" t="n">
        <v>3</v>
      </c>
      <c r="F12" t="inlineStr">
        <is>
          <t>OFF</t>
        </is>
      </c>
    </row>
    <row r="13">
      <c r="A13" t="inlineStr">
        <is>
          <t>2026-09-20</t>
        </is>
      </c>
      <c r="B13" t="inlineStr">
        <is>
          <t>Sun</t>
        </is>
      </c>
      <c r="C13" t="inlineStr">
        <is>
          <t>Client</t>
        </is>
      </c>
      <c r="D13" t="inlineStr">
        <is>
          <t>Dodam</t>
        </is>
      </c>
      <c r="E13" t="n">
        <v>1</v>
      </c>
      <c r="F13" t="inlineStr">
        <is>
          <t>23:00-11:00</t>
        </is>
      </c>
      <c r="G13" t="inlineStr">
        <is>
          <t>Cath Valdez</t>
        </is>
      </c>
      <c r="H13" t="inlineStr">
        <is>
          <t>Island of Dreams</t>
        </is>
      </c>
      <c r="I13" t="n">
        <v>0.0722</v>
      </c>
    </row>
    <row r="14">
      <c r="A14" t="inlineStr">
        <is>
          <t>2026-09-20</t>
        </is>
      </c>
      <c r="B14" t="inlineStr">
        <is>
          <t>Sun</t>
        </is>
      </c>
      <c r="C14" t="inlineStr">
        <is>
          <t>Client</t>
        </is>
      </c>
      <c r="D14" t="inlineStr">
        <is>
          <t>Dodam</t>
        </is>
      </c>
      <c r="E14" t="n">
        <v>2</v>
      </c>
      <c r="F14" t="inlineStr">
        <is>
          <t>07:00-19:00</t>
        </is>
      </c>
    </row>
    <row r="15">
      <c r="A15" t="inlineStr">
        <is>
          <t>2026-09-20</t>
        </is>
      </c>
      <c r="B15" t="inlineStr">
        <is>
          <t>Sun</t>
        </is>
      </c>
      <c r="C15" t="inlineStr">
        <is>
          <t>Client</t>
        </is>
      </c>
      <c r="D15" t="inlineStr">
        <is>
          <t>Dol</t>
        </is>
      </c>
      <c r="E15" t="n">
        <v>1</v>
      </c>
      <c r="F15" t="inlineStr">
        <is>
          <t>24:00-08:00</t>
        </is>
      </c>
      <c r="G15" t="inlineStr">
        <is>
          <t>Smarley</t>
        </is>
      </c>
      <c r="H15" t="inlineStr">
        <is>
          <t>Dragon Valley</t>
        </is>
      </c>
      <c r="I15" t="n">
        <v>0.1792</v>
      </c>
    </row>
    <row r="16">
      <c r="A16" t="inlineStr">
        <is>
          <t>2026-09-20</t>
        </is>
      </c>
      <c r="B16" t="inlineStr">
        <is>
          <t>Sun</t>
        </is>
      </c>
      <c r="C16" t="inlineStr">
        <is>
          <t>Client</t>
        </is>
      </c>
      <c r="D16" t="inlineStr">
        <is>
          <t>Dol</t>
        </is>
      </c>
      <c r="E16" t="n">
        <v>2</v>
      </c>
      <c r="F16" t="inlineStr">
        <is>
          <t>OFF</t>
        </is>
      </c>
    </row>
    <row r="17">
      <c r="A17" t="inlineStr">
        <is>
          <t>2026-09-20</t>
        </is>
      </c>
      <c r="B17" t="inlineStr">
        <is>
          <t>Sun</t>
        </is>
      </c>
      <c r="C17" t="inlineStr">
        <is>
          <t>Client</t>
        </is>
      </c>
      <c r="D17" t="inlineStr">
        <is>
          <t>Doma</t>
        </is>
      </c>
      <c r="E17" t="n">
        <v>1</v>
      </c>
      <c r="F17" t="inlineStr">
        <is>
          <t>OFF</t>
        </is>
      </c>
    </row>
    <row r="18">
      <c r="A18" t="inlineStr">
        <is>
          <t>2026-09-20</t>
        </is>
      </c>
      <c r="B18" t="inlineStr">
        <is>
          <t>Sun</t>
        </is>
      </c>
      <c r="C18" t="inlineStr">
        <is>
          <t>Client</t>
        </is>
      </c>
      <c r="D18" t="inlineStr">
        <is>
          <t>Doma</t>
        </is>
      </c>
      <c r="E18" t="n">
        <v>2</v>
      </c>
      <c r="F18" t="inlineStr">
        <is>
          <t>21:00-09:00</t>
        </is>
      </c>
      <c r="G18" t="inlineStr">
        <is>
          <t>Mark Anthony</t>
        </is>
      </c>
      <c r="H18" t="inlineStr">
        <is>
          <t>Ivory Tower</t>
        </is>
      </c>
      <c r="I18" t="n">
        <v>0.0236</v>
      </c>
    </row>
    <row r="19">
      <c r="A19" t="inlineStr">
        <is>
          <t>2026-09-20</t>
        </is>
      </c>
      <c r="B19" t="inlineStr">
        <is>
          <t>Sun</t>
        </is>
      </c>
      <c r="C19" t="inlineStr">
        <is>
          <t>Client</t>
        </is>
      </c>
      <c r="D19" t="inlineStr">
        <is>
          <t>Duga</t>
        </is>
      </c>
      <c r="E19" t="n">
        <v>1</v>
      </c>
      <c r="F19" t="inlineStr">
        <is>
          <t>07:00-15:00</t>
        </is>
      </c>
    </row>
    <row r="20">
      <c r="A20" t="inlineStr">
        <is>
          <t>2026-09-20</t>
        </is>
      </c>
      <c r="B20" t="inlineStr">
        <is>
          <t>Sun</t>
        </is>
      </c>
      <c r="C20" t="inlineStr">
        <is>
          <t>Client</t>
        </is>
      </c>
      <c r="D20" t="inlineStr">
        <is>
          <t>Elf</t>
        </is>
      </c>
      <c r="E20" t="n">
        <v>1</v>
      </c>
      <c r="F20" t="inlineStr">
        <is>
          <t>OFF</t>
        </is>
      </c>
    </row>
    <row r="21">
      <c r="A21" t="inlineStr">
        <is>
          <t>2026-09-20</t>
        </is>
      </c>
      <c r="B21" t="inlineStr">
        <is>
          <t>Sun</t>
        </is>
      </c>
      <c r="C21" t="inlineStr">
        <is>
          <t>Client</t>
        </is>
      </c>
      <c r="D21" t="inlineStr">
        <is>
          <t>Geonbae</t>
        </is>
      </c>
      <c r="E21" t="n">
        <v>1</v>
      </c>
      <c r="F21" t="inlineStr">
        <is>
          <t>OFF</t>
        </is>
      </c>
    </row>
    <row r="22">
      <c r="A22" t="inlineStr">
        <is>
          <t>2026-09-20</t>
        </is>
      </c>
      <c r="B22" t="inlineStr">
        <is>
          <t>Sun</t>
        </is>
      </c>
      <c r="C22" t="inlineStr">
        <is>
          <t>Client</t>
        </is>
      </c>
      <c r="D22" t="inlineStr">
        <is>
          <t>Geonbae</t>
        </is>
      </c>
      <c r="E22" t="n">
        <v>2</v>
      </c>
      <c r="F22" t="inlineStr">
        <is>
          <t>23:00-07:00</t>
        </is>
      </c>
      <c r="G22" t="inlineStr">
        <is>
          <t>Jheco</t>
        </is>
      </c>
      <c r="H22" t="inlineStr">
        <is>
          <t>Ivory Tower</t>
        </is>
      </c>
      <c r="I22" t="n">
        <v>0.0601</v>
      </c>
    </row>
    <row r="23">
      <c r="A23" t="inlineStr">
        <is>
          <t>2026-09-20</t>
        </is>
      </c>
      <c r="B23" t="inlineStr">
        <is>
          <t>Sun</t>
        </is>
      </c>
      <c r="C23" t="inlineStr">
        <is>
          <t>Client</t>
        </is>
      </c>
      <c r="D23" t="inlineStr">
        <is>
          <t>Goop</t>
        </is>
      </c>
      <c r="E23" t="n">
        <v>1</v>
      </c>
      <c r="F23" t="inlineStr">
        <is>
          <t>OFF</t>
        </is>
      </c>
    </row>
    <row r="24">
      <c r="A24" t="inlineStr">
        <is>
          <t>2026-09-20</t>
        </is>
      </c>
      <c r="B24" t="inlineStr">
        <is>
          <t>Sun</t>
        </is>
      </c>
      <c r="C24" t="inlineStr">
        <is>
          <t>Client</t>
        </is>
      </c>
      <c r="D24" t="inlineStr">
        <is>
          <t>Heon</t>
        </is>
      </c>
      <c r="E24" t="n">
        <v>1</v>
      </c>
      <c r="F24" t="inlineStr">
        <is>
          <t>OFF</t>
        </is>
      </c>
      <c r="H24" t="inlineStr">
        <is>
          <t>Abandoned Land (Abyss) 6
ivory tower 2</t>
        </is>
      </c>
      <c r="K24" t="inlineStr">
        <is>
          <t>E-Potion O</t>
        </is>
      </c>
      <c r="L24" t="inlineStr">
        <is>
          <t>555 buff</t>
        </is>
      </c>
      <c r="M24" t="inlineStr">
        <is>
          <t>Shield, Armour O</t>
        </is>
      </c>
    </row>
    <row r="25">
      <c r="A25" t="inlineStr">
        <is>
          <t>2026-09-20</t>
        </is>
      </c>
      <c r="B25" t="inlineStr">
        <is>
          <t>Sun</t>
        </is>
      </c>
      <c r="C25" t="inlineStr">
        <is>
          <t>Client</t>
        </is>
      </c>
      <c r="D25" t="inlineStr">
        <is>
          <t>Jjuni</t>
        </is>
      </c>
      <c r="E25" t="n">
        <v>1</v>
      </c>
      <c r="F25" t="inlineStr">
        <is>
          <t>OFF</t>
        </is>
      </c>
    </row>
    <row r="26">
      <c r="A26" t="inlineStr">
        <is>
          <t>2026-09-20</t>
        </is>
      </c>
      <c r="B26" t="inlineStr">
        <is>
          <t>Sun</t>
        </is>
      </c>
      <c r="C26" t="inlineStr">
        <is>
          <t>Client</t>
        </is>
      </c>
      <c r="D26" t="inlineStr">
        <is>
          <t>Jjuni</t>
        </is>
      </c>
      <c r="E26" t="n">
        <v>2</v>
      </c>
      <c r="F26" t="inlineStr">
        <is>
          <t>OFF</t>
        </is>
      </c>
    </row>
    <row r="27">
      <c r="A27" t="inlineStr">
        <is>
          <t>2026-09-20</t>
        </is>
      </c>
      <c r="B27" t="inlineStr">
        <is>
          <t>Sun</t>
        </is>
      </c>
      <c r="C27" t="inlineStr">
        <is>
          <t>Client</t>
        </is>
      </c>
      <c r="D27" t="inlineStr">
        <is>
          <t>Jjuni</t>
        </is>
      </c>
      <c r="E27" t="n">
        <v>3</v>
      </c>
      <c r="F27" t="inlineStr">
        <is>
          <t>OFF</t>
        </is>
      </c>
      <c r="H27" t="inlineStr">
        <is>
          <t>Ivory Tower</t>
        </is>
      </c>
    </row>
    <row r="28">
      <c r="A28" t="inlineStr">
        <is>
          <t>2026-09-20</t>
        </is>
      </c>
      <c r="B28" t="inlineStr">
        <is>
          <t>Sun</t>
        </is>
      </c>
      <c r="C28" t="inlineStr">
        <is>
          <t>Client</t>
        </is>
      </c>
      <c r="D28" t="inlineStr">
        <is>
          <t>Jo</t>
        </is>
      </c>
      <c r="E28" t="n">
        <v>1</v>
      </c>
      <c r="F28" t="inlineStr">
        <is>
          <t>OFF</t>
        </is>
      </c>
    </row>
    <row r="29">
      <c r="A29" t="inlineStr">
        <is>
          <t>2026-09-20</t>
        </is>
      </c>
      <c r="B29" t="inlineStr">
        <is>
          <t>Sun</t>
        </is>
      </c>
      <c r="C29" t="inlineStr">
        <is>
          <t>Client</t>
        </is>
      </c>
      <c r="D29" t="inlineStr">
        <is>
          <t>Lammy Queen</t>
        </is>
      </c>
      <c r="E29" t="n">
        <v>1</v>
      </c>
      <c r="F29" t="inlineStr">
        <is>
          <t>OFF</t>
        </is>
      </c>
    </row>
    <row r="30">
      <c r="A30" t="inlineStr">
        <is>
          <t>2026-09-20</t>
        </is>
      </c>
      <c r="B30" t="inlineStr">
        <is>
          <t>Sun</t>
        </is>
      </c>
      <c r="C30" t="inlineStr">
        <is>
          <t>Client</t>
        </is>
      </c>
      <c r="D30" t="inlineStr">
        <is>
          <t>Lammy Queen</t>
        </is>
      </c>
      <c r="E30" t="n">
        <v>2</v>
      </c>
      <c r="F30" t="inlineStr">
        <is>
          <t>02:00-09:00</t>
        </is>
      </c>
      <c r="G30" t="inlineStr">
        <is>
          <t>Richard Salupari</t>
        </is>
      </c>
      <c r="H30" t="inlineStr">
        <is>
          <t>Abandon Land</t>
        </is>
      </c>
      <c r="I30" t="n">
        <v>0.0387</v>
      </c>
    </row>
    <row r="31">
      <c r="A31" t="inlineStr">
        <is>
          <t>2026-09-20</t>
        </is>
      </c>
      <c r="B31" t="inlineStr">
        <is>
          <t>Sun</t>
        </is>
      </c>
      <c r="C31" t="inlineStr">
        <is>
          <t>Client</t>
        </is>
      </c>
      <c r="D31" t="inlineStr">
        <is>
          <t>Lolly</t>
        </is>
      </c>
      <c r="E31" t="n">
        <v>1</v>
      </c>
      <c r="F31" t="inlineStr">
        <is>
          <t>07:00-15:00</t>
        </is>
      </c>
      <c r="G31" t="inlineStr">
        <is>
          <t>Mitchell</t>
        </is>
      </c>
      <c r="H31" t="inlineStr">
        <is>
          <t>abandoned land 3
a land of corruption5</t>
        </is>
      </c>
      <c r="K31" t="inlineStr">
        <is>
          <t>E-Potion O</t>
        </is>
      </c>
      <c r="L31" t="inlineStr">
        <is>
          <t>555 buff</t>
        </is>
      </c>
      <c r="M31" t="inlineStr">
        <is>
          <t>Shield, Armour O</t>
        </is>
      </c>
    </row>
    <row r="32">
      <c r="A32" t="inlineStr">
        <is>
          <t>2026-09-20</t>
        </is>
      </c>
      <c r="B32" t="inlineStr">
        <is>
          <t>Sun</t>
        </is>
      </c>
      <c r="C32" t="inlineStr">
        <is>
          <t>Client</t>
        </is>
      </c>
      <c r="D32" t="inlineStr">
        <is>
          <t>Mukkbo</t>
        </is>
      </c>
      <c r="E32" t="n">
        <v>1</v>
      </c>
      <c r="F32" t="inlineStr">
        <is>
          <t>OFF</t>
        </is>
      </c>
    </row>
    <row r="33">
      <c r="A33" t="inlineStr">
        <is>
          <t>2026-09-20</t>
        </is>
      </c>
      <c r="B33" t="inlineStr">
        <is>
          <t>Sun</t>
        </is>
      </c>
      <c r="C33" t="inlineStr">
        <is>
          <t>Client</t>
        </is>
      </c>
      <c r="D33" t="inlineStr">
        <is>
          <t>Mukkbo</t>
        </is>
      </c>
      <c r="E33" t="n">
        <v>2</v>
      </c>
      <c r="F33" t="inlineStr">
        <is>
          <t>OFF</t>
        </is>
      </c>
    </row>
    <row r="34">
      <c r="A34" t="inlineStr">
        <is>
          <t>2026-09-20</t>
        </is>
      </c>
      <c r="B34" t="inlineStr">
        <is>
          <t>Sun</t>
        </is>
      </c>
      <c r="C34" t="inlineStr">
        <is>
          <t>Client</t>
        </is>
      </c>
      <c r="D34" t="inlineStr">
        <is>
          <t>Munjin</t>
        </is>
      </c>
      <c r="E34" t="n">
        <v>1</v>
      </c>
      <c r="F34" t="inlineStr">
        <is>
          <t>OFF</t>
        </is>
      </c>
    </row>
    <row r="35">
      <c r="A35" t="inlineStr">
        <is>
          <t>2026-09-20</t>
        </is>
      </c>
      <c r="B35" t="inlineStr">
        <is>
          <t>Sun</t>
        </is>
      </c>
      <c r="C35" t="inlineStr">
        <is>
          <t>Client</t>
        </is>
      </c>
      <c r="D35" t="inlineStr">
        <is>
          <t>Neburegi</t>
        </is>
      </c>
      <c r="E35" t="n">
        <v>1</v>
      </c>
      <c r="F35" t="inlineStr">
        <is>
          <t>OFF</t>
        </is>
      </c>
    </row>
    <row r="36">
      <c r="A36" t="inlineStr">
        <is>
          <t>2026-09-20</t>
        </is>
      </c>
      <c r="B36" t="inlineStr">
        <is>
          <t>Sun</t>
        </is>
      </c>
      <c r="C36" t="inlineStr">
        <is>
          <t>Client</t>
        </is>
      </c>
      <c r="D36" t="inlineStr">
        <is>
          <t>Olleh</t>
        </is>
      </c>
      <c r="E36" t="n">
        <v>1</v>
      </c>
      <c r="F36" t="inlineStr">
        <is>
          <t>OFF</t>
        </is>
      </c>
    </row>
    <row r="37">
      <c r="A37" t="inlineStr">
        <is>
          <t>2026-09-20</t>
        </is>
      </c>
      <c r="B37" t="inlineStr">
        <is>
          <t>Sun</t>
        </is>
      </c>
      <c r="C37" t="inlineStr">
        <is>
          <t>Client</t>
        </is>
      </c>
      <c r="D37" t="inlineStr">
        <is>
          <t>Olleh</t>
        </is>
      </c>
      <c r="E37" t="n">
        <v>2</v>
      </c>
      <c r="F37" t="inlineStr">
        <is>
          <t>OFF</t>
        </is>
      </c>
      <c r="H37" t="inlineStr">
        <is>
          <t>Ivory Tower</t>
        </is>
      </c>
    </row>
    <row r="38">
      <c r="A38" t="inlineStr">
        <is>
          <t>2026-09-20</t>
        </is>
      </c>
      <c r="B38" t="inlineStr">
        <is>
          <t>Sun</t>
        </is>
      </c>
      <c r="C38" t="inlineStr">
        <is>
          <t>Client</t>
        </is>
      </c>
      <c r="D38" t="inlineStr">
        <is>
          <t>Perez</t>
        </is>
      </c>
      <c r="E38" t="n">
        <v>1</v>
      </c>
      <c r="F38" t="inlineStr">
        <is>
          <t>08:00-16:00</t>
        </is>
      </c>
      <c r="G38" t="inlineStr">
        <is>
          <t>Samantha</t>
        </is>
      </c>
    </row>
    <row r="39">
      <c r="A39" t="inlineStr">
        <is>
          <t>2026-09-20</t>
        </is>
      </c>
      <c r="B39" t="inlineStr">
        <is>
          <t>Sun</t>
        </is>
      </c>
      <c r="C39" t="inlineStr">
        <is>
          <t>Client</t>
        </is>
      </c>
      <c r="D39" t="inlineStr">
        <is>
          <t>Perez</t>
        </is>
      </c>
      <c r="E39" t="n">
        <v>2</v>
      </c>
      <c r="F39" t="inlineStr">
        <is>
          <t>13:00-18:00</t>
        </is>
      </c>
      <c r="G39" t="inlineStr">
        <is>
          <t>Jel RIck</t>
        </is>
      </c>
      <c r="H39" t="inlineStr">
        <is>
          <t>IVORY TOWER / PEREZ</t>
        </is>
      </c>
      <c r="I39" t="n">
        <v>0.0073</v>
      </c>
      <c r="J39" t="n">
        <v>1600</v>
      </c>
      <c r="K39" t="n">
        <v>0</v>
      </c>
      <c r="L39" t="n">
        <v>0</v>
      </c>
      <c r="M39" t="n">
        <v>0</v>
      </c>
    </row>
    <row r="40">
      <c r="A40" t="inlineStr">
        <is>
          <t>2026-09-20</t>
        </is>
      </c>
      <c r="B40" t="inlineStr">
        <is>
          <t>Sun</t>
        </is>
      </c>
      <c r="C40" t="inlineStr">
        <is>
          <t>Client</t>
        </is>
      </c>
      <c r="D40" t="inlineStr">
        <is>
          <t>Perez</t>
        </is>
      </c>
      <c r="E40" t="n">
        <v>3</v>
      </c>
      <c r="F40" t="inlineStr">
        <is>
          <t>21:00-05:00</t>
        </is>
      </c>
      <c r="G40" t="inlineStr">
        <is>
          <t>Zenron</t>
        </is>
      </c>
      <c r="H40" t="inlineStr">
        <is>
          <t>Abandon Land</t>
        </is>
      </c>
      <c r="I40" t="n">
        <v>0.0112</v>
      </c>
    </row>
    <row r="41">
      <c r="A41" t="inlineStr">
        <is>
          <t>2026-09-20</t>
        </is>
      </c>
      <c r="B41" t="inlineStr">
        <is>
          <t>Sun</t>
        </is>
      </c>
      <c r="C41" t="inlineStr">
        <is>
          <t>Client</t>
        </is>
      </c>
      <c r="D41" t="inlineStr">
        <is>
          <t>Power20</t>
        </is>
      </c>
      <c r="E41" t="n">
        <v>1</v>
      </c>
      <c r="F41" t="inlineStr">
        <is>
          <t>10:00-19:00</t>
        </is>
      </c>
      <c r="G41" t="inlineStr">
        <is>
          <t>Ginbert</t>
        </is>
      </c>
    </row>
    <row r="42">
      <c r="A42" t="inlineStr">
        <is>
          <t>2026-09-20</t>
        </is>
      </c>
      <c r="B42" t="inlineStr">
        <is>
          <t>Sun</t>
        </is>
      </c>
      <c r="C42" t="inlineStr">
        <is>
          <t>Client</t>
        </is>
      </c>
      <c r="D42" t="inlineStr">
        <is>
          <t>Power20</t>
        </is>
      </c>
      <c r="E42" t="n">
        <v>2</v>
      </c>
      <c r="F42" t="inlineStr">
        <is>
          <t>OFF</t>
        </is>
      </c>
    </row>
    <row r="43">
      <c r="A43" t="inlineStr">
        <is>
          <t>2026-09-20</t>
        </is>
      </c>
      <c r="B43" t="inlineStr">
        <is>
          <t>Sun</t>
        </is>
      </c>
      <c r="C43" t="inlineStr">
        <is>
          <t>Client</t>
        </is>
      </c>
      <c r="D43" t="inlineStr">
        <is>
          <t>Power20</t>
        </is>
      </c>
      <c r="E43" t="n">
        <v>3</v>
      </c>
      <c r="F43" t="inlineStr">
        <is>
          <t>01:00-10:00</t>
        </is>
      </c>
      <c r="G43" t="inlineStr">
        <is>
          <t>Roderick</t>
        </is>
      </c>
      <c r="H43" t="inlineStr">
        <is>
          <t>Ivory Tower</t>
        </is>
      </c>
      <c r="I43" t="n">
        <v>0.0118</v>
      </c>
    </row>
    <row r="44">
      <c r="A44" t="inlineStr">
        <is>
          <t>2026-09-20</t>
        </is>
      </c>
      <c r="B44" t="inlineStr">
        <is>
          <t>Sun</t>
        </is>
      </c>
      <c r="C44" t="inlineStr">
        <is>
          <t>Client</t>
        </is>
      </c>
      <c r="D44" t="inlineStr">
        <is>
          <t>Real Madrid</t>
        </is>
      </c>
      <c r="E44" t="n">
        <v>1</v>
      </c>
      <c r="F44" t="inlineStr">
        <is>
          <t>24:00-08:00</t>
        </is>
      </c>
      <c r="G44" t="inlineStr">
        <is>
          <t>Mark Valdez</t>
        </is>
      </c>
      <c r="H44" t="inlineStr">
        <is>
          <t>Ivory Tower</t>
        </is>
      </c>
      <c r="I44" t="n">
        <v>0.0152</v>
      </c>
    </row>
    <row r="45">
      <c r="A45" t="inlineStr">
        <is>
          <t>2026-09-20</t>
        </is>
      </c>
      <c r="B45" t="inlineStr">
        <is>
          <t>Sun</t>
        </is>
      </c>
      <c r="C45" t="inlineStr">
        <is>
          <t>Client</t>
        </is>
      </c>
      <c r="D45" t="inlineStr">
        <is>
          <t>Real Madrid</t>
        </is>
      </c>
      <c r="E45" t="n">
        <v>2</v>
      </c>
      <c r="F45" t="inlineStr">
        <is>
          <t>OFF</t>
        </is>
      </c>
      <c r="H45" t="inlineStr">
        <is>
          <t>Ivory Tower</t>
        </is>
      </c>
    </row>
    <row r="46">
      <c r="A46" t="inlineStr">
        <is>
          <t>2026-09-20</t>
        </is>
      </c>
      <c r="B46" t="inlineStr">
        <is>
          <t>Sun</t>
        </is>
      </c>
      <c r="C46" t="inlineStr">
        <is>
          <t>Client</t>
        </is>
      </c>
      <c r="D46" t="inlineStr">
        <is>
          <t>Real Madrid</t>
        </is>
      </c>
      <c r="E46" t="n">
        <v>3</v>
      </c>
      <c r="F46" t="inlineStr">
        <is>
          <t>OFF</t>
        </is>
      </c>
    </row>
    <row r="47">
      <c r="A47" t="inlineStr">
        <is>
          <t>2026-09-20</t>
        </is>
      </c>
      <c r="B47" t="inlineStr">
        <is>
          <t>Sun</t>
        </is>
      </c>
      <c r="C47" t="inlineStr">
        <is>
          <t>Client</t>
        </is>
      </c>
      <c r="D47" t="inlineStr">
        <is>
          <t>Return</t>
        </is>
      </c>
      <c r="E47" t="n">
        <v>1</v>
      </c>
      <c r="F47" t="inlineStr">
        <is>
          <t>03:00-11:00</t>
        </is>
      </c>
      <c r="G47" t="inlineStr">
        <is>
          <t>Patrick Rivera</t>
        </is>
      </c>
      <c r="H47" t="inlineStr">
        <is>
          <t>Ivory Tower</t>
        </is>
      </c>
      <c r="I47" t="n">
        <v>0.0068</v>
      </c>
    </row>
    <row r="48">
      <c r="A48" t="inlineStr">
        <is>
          <t>2026-09-20</t>
        </is>
      </c>
      <c r="B48" t="inlineStr">
        <is>
          <t>Sun</t>
        </is>
      </c>
      <c r="C48" t="inlineStr">
        <is>
          <t>Client</t>
        </is>
      </c>
      <c r="D48" t="inlineStr">
        <is>
          <t>Road</t>
        </is>
      </c>
      <c r="E48" t="n">
        <v>1</v>
      </c>
      <c r="F48" t="inlineStr">
        <is>
          <t>OFF</t>
        </is>
      </c>
    </row>
    <row r="49">
      <c r="A49" t="inlineStr">
        <is>
          <t>2026-09-20</t>
        </is>
      </c>
      <c r="B49" t="inlineStr">
        <is>
          <t>Sun</t>
        </is>
      </c>
      <c r="C49" t="inlineStr">
        <is>
          <t>Client</t>
        </is>
      </c>
      <c r="D49" t="inlineStr">
        <is>
          <t>SSEN</t>
        </is>
      </c>
      <c r="E49" t="n">
        <v>1</v>
      </c>
      <c r="F49" t="inlineStr">
        <is>
          <t>07:00-19:00</t>
        </is>
      </c>
      <c r="G49" t="inlineStr">
        <is>
          <t>Cedric</t>
        </is>
      </c>
    </row>
    <row r="50">
      <c r="A50" t="inlineStr">
        <is>
          <t>2026-09-20</t>
        </is>
      </c>
      <c r="B50" t="inlineStr">
        <is>
          <t>Sun</t>
        </is>
      </c>
      <c r="C50" t="inlineStr">
        <is>
          <t>Client</t>
        </is>
      </c>
      <c r="D50" t="inlineStr">
        <is>
          <t>Tiger</t>
        </is>
      </c>
      <c r="E50" t="n">
        <v>1</v>
      </c>
      <c r="F50" t="inlineStr">
        <is>
          <t>OFF</t>
        </is>
      </c>
    </row>
    <row r="51">
      <c r="A51" t="inlineStr">
        <is>
          <t>2026-09-20</t>
        </is>
      </c>
      <c r="B51" t="inlineStr">
        <is>
          <t>Sun</t>
        </is>
      </c>
      <c r="C51" t="inlineStr">
        <is>
          <t>Client</t>
        </is>
      </c>
      <c r="D51" t="inlineStr">
        <is>
          <t>Tiger</t>
        </is>
      </c>
      <c r="E51" t="n">
        <v>2</v>
      </c>
      <c r="F51" t="inlineStr">
        <is>
          <t>OFF</t>
        </is>
      </c>
      <c r="H51" t="inlineStr">
        <is>
          <t>Island of Dreams</t>
        </is>
      </c>
    </row>
    <row r="52">
      <c r="A52" t="inlineStr">
        <is>
          <t>2026-09-20</t>
        </is>
      </c>
      <c r="B52" t="inlineStr">
        <is>
          <t>Sun</t>
        </is>
      </c>
      <c r="C52" t="inlineStr">
        <is>
          <t>Client</t>
        </is>
      </c>
      <c r="D52" t="inlineStr">
        <is>
          <t>Yeoseo</t>
        </is>
      </c>
      <c r="E52" t="n">
        <v>1</v>
      </c>
      <c r="F52" t="inlineStr">
        <is>
          <t>OFF</t>
        </is>
      </c>
      <c r="H52" t="inlineStr">
        <is>
          <t>abandoned land 3
a land of corruption5</t>
        </is>
      </c>
      <c r="K52" t="inlineStr">
        <is>
          <t>E-Potion O</t>
        </is>
      </c>
      <c r="L52" t="inlineStr">
        <is>
          <t>555 buff</t>
        </is>
      </c>
      <c r="M52" t="inlineStr">
        <is>
          <t>Shield, Armour O</t>
        </is>
      </c>
    </row>
    <row r="53">
      <c r="A53" t="inlineStr">
        <is>
          <t>2026-09-20</t>
        </is>
      </c>
      <c r="B53" t="inlineStr">
        <is>
          <t>Sun</t>
        </is>
      </c>
      <c r="C53" t="inlineStr">
        <is>
          <t>Client</t>
        </is>
      </c>
      <c r="D53" t="inlineStr">
        <is>
          <t>Zombie</t>
        </is>
      </c>
      <c r="E53" t="n">
        <v>1</v>
      </c>
      <c r="F53" t="inlineStr">
        <is>
          <t>OFF</t>
        </is>
      </c>
    </row>
    <row r="54">
      <c r="A54" t="inlineStr">
        <is>
          <t>2026-09-20</t>
        </is>
      </c>
      <c r="B54" t="inlineStr">
        <is>
          <t>Sun</t>
        </is>
      </c>
      <c r="C54" t="inlineStr">
        <is>
          <t>Client</t>
        </is>
      </c>
      <c r="D54" t="inlineStr">
        <is>
          <t>Zombie</t>
        </is>
      </c>
      <c r="E54" t="n">
        <v>2</v>
      </c>
      <c r="F54" t="inlineStr">
        <is>
          <t>OFF</t>
        </is>
      </c>
    </row>
    <row r="55">
      <c r="A55" t="inlineStr">
        <is>
          <t>2026-09-20</t>
        </is>
      </c>
      <c r="B55" t="inlineStr">
        <is>
          <t>Sun</t>
        </is>
      </c>
      <c r="C55" t="inlineStr">
        <is>
          <t>Client</t>
        </is>
      </c>
      <c r="D55" t="inlineStr">
        <is>
          <t>Zombie</t>
        </is>
      </c>
      <c r="E55" t="n">
        <v>3</v>
      </c>
      <c r="F55" t="inlineStr">
        <is>
          <t>OFF</t>
        </is>
      </c>
    </row>
    <row r="56">
      <c r="A56" t="inlineStr">
        <is>
          <t>2026-09-20</t>
        </is>
      </c>
      <c r="B56" t="inlineStr">
        <is>
          <t>Sun</t>
        </is>
      </c>
      <c r="C56" t="inlineStr">
        <is>
          <t>Farming</t>
        </is>
      </c>
      <c r="D56" t="inlineStr">
        <is>
          <t>Kangaroo</t>
        </is>
      </c>
      <c r="E56" t="n">
        <v>1</v>
      </c>
      <c r="F56" t="inlineStr">
        <is>
          <t>08:00-16:00</t>
        </is>
      </c>
      <c r="H56" t="inlineStr">
        <is>
          <t>Corrupted Land</t>
        </is>
      </c>
    </row>
    <row r="57">
      <c r="A57" t="inlineStr">
        <is>
          <t>2026-09-20</t>
        </is>
      </c>
      <c r="B57" t="inlineStr">
        <is>
          <t>Sun</t>
        </is>
      </c>
      <c r="C57" t="inlineStr">
        <is>
          <t>Farming</t>
        </is>
      </c>
      <c r="D57" t="inlineStr">
        <is>
          <t>Kangaroo</t>
        </is>
      </c>
      <c r="E57" t="n">
        <v>2</v>
      </c>
      <c r="F57" t="inlineStr">
        <is>
          <t>15:00-18:00</t>
        </is>
      </c>
      <c r="G57" t="inlineStr">
        <is>
          <t>David Ayag</t>
        </is>
      </c>
      <c r="H57" t="inlineStr">
        <is>
          <t>Corrupted Land</t>
        </is>
      </c>
      <c r="I57" t="n">
        <v>0.0131</v>
      </c>
      <c r="J57" t="inlineStr">
        <is>
          <t>-</t>
        </is>
      </c>
      <c r="K57" t="n">
        <v>0</v>
      </c>
      <c r="L57" t="n">
        <v>0</v>
      </c>
      <c r="M57" t="n">
        <v>0</v>
      </c>
    </row>
    <row r="58">
      <c r="A58" t="inlineStr">
        <is>
          <t>2026-09-20</t>
        </is>
      </c>
      <c r="B58" t="inlineStr">
        <is>
          <t>Sun</t>
        </is>
      </c>
      <c r="C58" t="inlineStr">
        <is>
          <t>Farming</t>
        </is>
      </c>
      <c r="D58" t="inlineStr">
        <is>
          <t>Kangaroo</t>
        </is>
      </c>
      <c r="E58" t="n">
        <v>3</v>
      </c>
      <c r="F58" t="inlineStr">
        <is>
          <t>24:00-08:00</t>
        </is>
      </c>
      <c r="G58" t="inlineStr">
        <is>
          <t>Raul</t>
        </is>
      </c>
      <c r="H58" t="inlineStr">
        <is>
          <t>Corrupted Land</t>
        </is>
      </c>
      <c r="I58" t="n">
        <v>0.0571</v>
      </c>
    </row>
    <row r="59">
      <c r="A59" t="inlineStr">
        <is>
          <t>2026-09-20</t>
        </is>
      </c>
      <c r="B59" t="inlineStr">
        <is>
          <t>Sun</t>
        </is>
      </c>
      <c r="C59" t="inlineStr">
        <is>
          <t>Farming</t>
        </is>
      </c>
      <c r="D59" t="inlineStr">
        <is>
          <t>Kyoryu</t>
        </is>
      </c>
      <c r="E59" t="n">
        <v>1</v>
      </c>
      <c r="F59" t="inlineStr">
        <is>
          <t>08:00-16:00</t>
        </is>
      </c>
    </row>
    <row r="60">
      <c r="A60" t="inlineStr">
        <is>
          <t>2026-09-20</t>
        </is>
      </c>
      <c r="B60" t="inlineStr">
        <is>
          <t>Sun</t>
        </is>
      </c>
      <c r="C60" t="inlineStr">
        <is>
          <t>Farming</t>
        </is>
      </c>
      <c r="D60" t="inlineStr">
        <is>
          <t>Kyoryu</t>
        </is>
      </c>
      <c r="E60" t="n">
        <v>2</v>
      </c>
      <c r="F60" t="inlineStr">
        <is>
          <t>16:00-24:00</t>
        </is>
      </c>
      <c r="G60" t="inlineStr">
        <is>
          <t>Charles Bernades</t>
        </is>
      </c>
      <c r="H60" t="inlineStr">
        <is>
          <t>ELMORE &amp; DD</t>
        </is>
      </c>
      <c r="I60" t="n">
        <v>0.0187</v>
      </c>
      <c r="J60" t="n">
        <v>47205</v>
      </c>
    </row>
    <row r="61">
      <c r="A61" t="inlineStr">
        <is>
          <t>2026-09-20</t>
        </is>
      </c>
      <c r="B61" t="inlineStr">
        <is>
          <t>Sun</t>
        </is>
      </c>
      <c r="C61" t="inlineStr">
        <is>
          <t>Farming</t>
        </is>
      </c>
      <c r="D61" t="inlineStr">
        <is>
          <t>Kyoryu</t>
        </is>
      </c>
      <c r="E61" t="n">
        <v>3</v>
      </c>
      <c r="F61" t="inlineStr">
        <is>
          <t>24:00-02:00</t>
        </is>
      </c>
      <c r="G61" t="inlineStr">
        <is>
          <t>Richard Salupari</t>
        </is>
      </c>
      <c r="H61" t="inlineStr">
        <is>
          <t>Elmore</t>
        </is>
      </c>
    </row>
    <row r="62">
      <c r="A62" t="inlineStr">
        <is>
          <t>2026-09-20</t>
        </is>
      </c>
      <c r="B62" t="inlineStr">
        <is>
          <t>Sun</t>
        </is>
      </c>
      <c r="C62" t="inlineStr">
        <is>
          <t>Farming</t>
        </is>
      </c>
      <c r="D62" t="inlineStr">
        <is>
          <t>Marcelo</t>
        </is>
      </c>
      <c r="E62" t="n">
        <v>1</v>
      </c>
      <c r="F62" t="inlineStr">
        <is>
          <t>08:00-16:00</t>
        </is>
      </c>
    </row>
    <row r="63">
      <c r="A63" t="inlineStr">
        <is>
          <t>2026-09-20</t>
        </is>
      </c>
      <c r="B63" t="inlineStr">
        <is>
          <t>Sun</t>
        </is>
      </c>
      <c r="C63" t="inlineStr">
        <is>
          <t>Farming</t>
        </is>
      </c>
      <c r="D63" t="inlineStr">
        <is>
          <t>Marcelo</t>
        </is>
      </c>
      <c r="E63" t="n">
        <v>2</v>
      </c>
      <c r="F63" t="inlineStr">
        <is>
          <t>16:00-24:00</t>
        </is>
      </c>
      <c r="H63" t="inlineStr">
        <is>
          <t>ELMORE &amp; DD</t>
        </is>
      </c>
    </row>
    <row r="64">
      <c r="A64" t="inlineStr">
        <is>
          <t>2026-09-20</t>
        </is>
      </c>
      <c r="B64" t="inlineStr">
        <is>
          <t>Sun</t>
        </is>
      </c>
      <c r="C64" t="inlineStr">
        <is>
          <t>Farming</t>
        </is>
      </c>
      <c r="D64" t="inlineStr">
        <is>
          <t>Marcelo</t>
        </is>
      </c>
      <c r="E64" t="n">
        <v>3</v>
      </c>
      <c r="F64" t="inlineStr">
        <is>
          <t>24:00-08:00</t>
        </is>
      </c>
      <c r="G64" t="inlineStr">
        <is>
          <t>Lourence</t>
        </is>
      </c>
      <c r="H64" t="inlineStr">
        <is>
          <t>Elmore</t>
        </is>
      </c>
      <c r="I64" t="n">
        <v>0.008999999999999999</v>
      </c>
      <c r="J64" t="n">
        <v>63787</v>
      </c>
    </row>
    <row r="65">
      <c r="A65" t="inlineStr">
        <is>
          <t>2026-09-20</t>
        </is>
      </c>
      <c r="B65" t="inlineStr">
        <is>
          <t>Sun</t>
        </is>
      </c>
      <c r="C65" t="inlineStr">
        <is>
          <t>Farming</t>
        </is>
      </c>
      <c r="D65" t="inlineStr">
        <is>
          <t>OldBlood</t>
        </is>
      </c>
      <c r="E65" t="n">
        <v>1</v>
      </c>
      <c r="F65" t="inlineStr">
        <is>
          <t>OFF</t>
        </is>
      </c>
    </row>
    <row r="66">
      <c r="A66" t="inlineStr">
        <is>
          <t>2026-09-20</t>
        </is>
      </c>
      <c r="B66" t="inlineStr">
        <is>
          <t>Sun</t>
        </is>
      </c>
      <c r="C66" t="inlineStr">
        <is>
          <t>Farming</t>
        </is>
      </c>
      <c r="D66" t="inlineStr">
        <is>
          <t>Pele</t>
        </is>
      </c>
      <c r="E66" t="n">
        <v>1</v>
      </c>
      <c r="F66" t="inlineStr">
        <is>
          <t>08:00-16:00</t>
        </is>
      </c>
    </row>
    <row r="67">
      <c r="A67" t="inlineStr">
        <is>
          <t>2026-09-20</t>
        </is>
      </c>
      <c r="B67" t="inlineStr">
        <is>
          <t>Sun</t>
        </is>
      </c>
      <c r="C67" t="inlineStr">
        <is>
          <t>Farming</t>
        </is>
      </c>
      <c r="D67" t="inlineStr">
        <is>
          <t>Pele</t>
        </is>
      </c>
      <c r="E67" t="n">
        <v>2</v>
      </c>
      <c r="F67" t="inlineStr">
        <is>
          <t>16:00-24:00</t>
        </is>
      </c>
      <c r="H67" t="inlineStr">
        <is>
          <t>ANT &amp; ELMORE</t>
        </is>
      </c>
    </row>
    <row r="68">
      <c r="A68" t="inlineStr">
        <is>
          <t>2026-09-20</t>
        </is>
      </c>
      <c r="B68" t="inlineStr">
        <is>
          <t>Sun</t>
        </is>
      </c>
      <c r="C68" t="inlineStr">
        <is>
          <t>Farming</t>
        </is>
      </c>
      <c r="D68" t="inlineStr">
        <is>
          <t>Pele</t>
        </is>
      </c>
      <c r="E68" t="n">
        <v>3</v>
      </c>
      <c r="F68" t="inlineStr">
        <is>
          <t>24:00-06:00</t>
        </is>
      </c>
      <c r="G68" t="inlineStr">
        <is>
          <t>Rodel</t>
        </is>
      </c>
      <c r="H68" t="inlineStr">
        <is>
          <t>ELMORE</t>
        </is>
      </c>
      <c r="I68" t="n">
        <v>0.0114</v>
      </c>
      <c r="J68" t="n">
        <v>30775</v>
      </c>
    </row>
    <row r="69">
      <c r="A69" t="inlineStr">
        <is>
          <t>2026-09-20</t>
        </is>
      </c>
      <c r="B69" t="inlineStr">
        <is>
          <t>Sun</t>
        </is>
      </c>
      <c r="C69" t="inlineStr">
        <is>
          <t>Farming</t>
        </is>
      </c>
      <c r="D69" t="inlineStr">
        <is>
          <t>Ronaldo</t>
        </is>
      </c>
      <c r="E69" t="n">
        <v>1</v>
      </c>
      <c r="F69" t="inlineStr">
        <is>
          <t>08:00-16:00</t>
        </is>
      </c>
    </row>
    <row r="70">
      <c r="A70" t="inlineStr">
        <is>
          <t>2026-09-20</t>
        </is>
      </c>
      <c r="B70" t="inlineStr">
        <is>
          <t>Sun</t>
        </is>
      </c>
      <c r="C70" t="inlineStr">
        <is>
          <t>Farming</t>
        </is>
      </c>
      <c r="D70" t="inlineStr">
        <is>
          <t>Ronaldo</t>
        </is>
      </c>
      <c r="E70" t="n">
        <v>2</v>
      </c>
      <c r="F70" t="inlineStr">
        <is>
          <t>16:00-24:00</t>
        </is>
      </c>
      <c r="G70" t="inlineStr">
        <is>
          <t>Angelo Diocales</t>
        </is>
      </c>
      <c r="H70" t="inlineStr">
        <is>
          <t>Ivory Tower 4~5</t>
        </is>
      </c>
      <c r="I70" t="n">
        <v>0.0538</v>
      </c>
      <c r="J70" t="inlineStr">
        <is>
          <t>−3353</t>
        </is>
      </c>
      <c r="K70" t="n">
        <v>0</v>
      </c>
      <c r="L70" t="n">
        <v>0</v>
      </c>
      <c r="M70" t="n">
        <v>0</v>
      </c>
    </row>
    <row r="71">
      <c r="A71" t="inlineStr">
        <is>
          <t>2026-09-20</t>
        </is>
      </c>
      <c r="B71" t="inlineStr">
        <is>
          <t>Sun</t>
        </is>
      </c>
      <c r="C71" t="inlineStr">
        <is>
          <t>Farming</t>
        </is>
      </c>
      <c r="D71" t="inlineStr">
        <is>
          <t>Ronaldo</t>
        </is>
      </c>
      <c r="E71" t="n">
        <v>3</v>
      </c>
      <c r="F71" t="inlineStr">
        <is>
          <t>24:00-08:00</t>
        </is>
      </c>
      <c r="G71" t="inlineStr">
        <is>
          <t>Joseph Racca</t>
        </is>
      </c>
      <c r="H71" t="inlineStr">
        <is>
          <t>Ivory flr4&amp;5</t>
        </is>
      </c>
      <c r="I71" t="n">
        <v>0.0819</v>
      </c>
    </row>
    <row r="72">
      <c r="A72" t="inlineStr">
        <is>
          <t>2026-09-20</t>
        </is>
      </c>
      <c r="B72" t="inlineStr">
        <is>
          <t>Sun</t>
        </is>
      </c>
      <c r="C72" t="inlineStr">
        <is>
          <t>Farming</t>
        </is>
      </c>
      <c r="D72" t="inlineStr">
        <is>
          <t>Sarim</t>
        </is>
      </c>
      <c r="E72" t="n">
        <v>1</v>
      </c>
      <c r="F72" t="inlineStr">
        <is>
          <t>08:00-12:00</t>
        </is>
      </c>
    </row>
    <row r="73">
      <c r="A73" t="inlineStr">
        <is>
          <t>2026-09-20</t>
        </is>
      </c>
      <c r="B73" t="inlineStr">
        <is>
          <t>Sun</t>
        </is>
      </c>
      <c r="C73" t="inlineStr">
        <is>
          <t>Farming</t>
        </is>
      </c>
      <c r="D73" t="inlineStr">
        <is>
          <t>Sarim</t>
        </is>
      </c>
      <c r="E73" t="n">
        <v>2</v>
      </c>
      <c r="F73" t="inlineStr">
        <is>
          <t>16:00-24:00</t>
        </is>
      </c>
      <c r="H73" t="inlineStr">
        <is>
          <t>ELMORE &amp; DD</t>
        </is>
      </c>
    </row>
    <row r="74">
      <c r="A74" t="inlineStr">
        <is>
          <t>2026-09-20</t>
        </is>
      </c>
      <c r="B74" t="inlineStr">
        <is>
          <t>Sun</t>
        </is>
      </c>
      <c r="C74" t="inlineStr">
        <is>
          <t>Farming</t>
        </is>
      </c>
      <c r="D74" t="inlineStr">
        <is>
          <t>Sarim</t>
        </is>
      </c>
      <c r="E74" t="n">
        <v>3</v>
      </c>
      <c r="F74" t="inlineStr">
        <is>
          <t>24:00-08:00</t>
        </is>
      </c>
      <c r="H74" t="inlineStr">
        <is>
          <t>Elmore</t>
        </is>
      </c>
    </row>
    <row r="75">
      <c r="A75" t="inlineStr">
        <is>
          <t>2026-09-20</t>
        </is>
      </c>
      <c r="B75" t="inlineStr">
        <is>
          <t>Sun</t>
        </is>
      </c>
      <c r="C75" t="inlineStr">
        <is>
          <t>Farming</t>
        </is>
      </c>
      <c r="D75" t="inlineStr">
        <is>
          <t>Sinsang</t>
        </is>
      </c>
      <c r="E75" t="n">
        <v>1</v>
      </c>
      <c r="F75" t="inlineStr">
        <is>
          <t>OFF</t>
        </is>
      </c>
    </row>
    <row r="76">
      <c r="A76" t="inlineStr">
        <is>
          <t>2026-09-20</t>
        </is>
      </c>
      <c r="B76" t="inlineStr">
        <is>
          <t>Sun</t>
        </is>
      </c>
      <c r="C76" t="inlineStr">
        <is>
          <t>Farming</t>
        </is>
      </c>
      <c r="D76" t="inlineStr">
        <is>
          <t>Sudden</t>
        </is>
      </c>
      <c r="E76" t="n">
        <v>1</v>
      </c>
      <c r="F76" t="inlineStr">
        <is>
          <t>08:00-16:00</t>
        </is>
      </c>
    </row>
    <row r="77">
      <c r="A77" t="inlineStr">
        <is>
          <t>2026-09-20</t>
        </is>
      </c>
      <c r="B77" t="inlineStr">
        <is>
          <t>Sun</t>
        </is>
      </c>
      <c r="C77" t="inlineStr">
        <is>
          <t>Farming</t>
        </is>
      </c>
      <c r="D77" t="inlineStr">
        <is>
          <t>Sudden</t>
        </is>
      </c>
      <c r="E77" t="n">
        <v>2</v>
      </c>
      <c r="F77" t="inlineStr">
        <is>
          <t>16:00-24:00</t>
        </is>
      </c>
      <c r="H77" t="inlineStr">
        <is>
          <t>ELMORE &amp; DD</t>
        </is>
      </c>
    </row>
    <row r="78">
      <c r="A78" t="inlineStr">
        <is>
          <t>2026-09-20</t>
        </is>
      </c>
      <c r="B78" t="inlineStr">
        <is>
          <t>Sun</t>
        </is>
      </c>
      <c r="C78" t="inlineStr">
        <is>
          <t>Farming</t>
        </is>
      </c>
      <c r="D78" t="inlineStr">
        <is>
          <t>Sudden</t>
        </is>
      </c>
      <c r="E78" t="n">
        <v>3</v>
      </c>
      <c r="F78" t="inlineStr">
        <is>
          <t>24:00-08:00</t>
        </is>
      </c>
      <c r="G78" t="inlineStr">
        <is>
          <t>Ehder Lhen</t>
        </is>
      </c>
      <c r="H78" t="inlineStr">
        <is>
          <t>Elmore</t>
        </is>
      </c>
      <c r="I78" t="n">
        <v>0.1291</v>
      </c>
    </row>
    <row r="79">
      <c r="A79" t="inlineStr">
        <is>
          <t>2026-09-20</t>
        </is>
      </c>
      <c r="B79" t="inlineStr">
        <is>
          <t>Sun</t>
        </is>
      </c>
      <c r="C79" t="inlineStr">
        <is>
          <t>Farming</t>
        </is>
      </c>
      <c r="D79" t="inlineStr">
        <is>
          <t>Sunsang</t>
        </is>
      </c>
      <c r="E79" t="n">
        <v>1</v>
      </c>
      <c r="F79" t="inlineStr">
        <is>
          <t>OFF</t>
        </is>
      </c>
    </row>
    <row r="80">
      <c r="A80" t="inlineStr">
        <is>
          <t>2026-09-20</t>
        </is>
      </c>
      <c r="B80" t="inlineStr">
        <is>
          <t>Sun</t>
        </is>
      </c>
      <c r="C80" t="inlineStr">
        <is>
          <t>Farming</t>
        </is>
      </c>
      <c r="D80" t="inlineStr">
        <is>
          <t>Sunsang</t>
        </is>
      </c>
      <c r="E80" t="n">
        <v>2</v>
      </c>
      <c r="F80" t="inlineStr">
        <is>
          <t>OFF</t>
        </is>
      </c>
    </row>
    <row r="81">
      <c r="A81" t="inlineStr">
        <is>
          <t>2026-09-20</t>
        </is>
      </c>
      <c r="B81" t="inlineStr">
        <is>
          <t>Sun</t>
        </is>
      </c>
      <c r="C81" t="inlineStr">
        <is>
          <t>Farming</t>
        </is>
      </c>
      <c r="D81" t="inlineStr">
        <is>
          <t>Taejo</t>
        </is>
      </c>
      <c r="E81" t="n">
        <v>1</v>
      </c>
      <c r="F81" t="inlineStr">
        <is>
          <t>08:00-16:00</t>
        </is>
      </c>
    </row>
    <row r="82">
      <c r="A82" t="inlineStr">
        <is>
          <t>2026-09-20</t>
        </is>
      </c>
      <c r="B82" t="inlineStr">
        <is>
          <t>Sun</t>
        </is>
      </c>
      <c r="C82" t="inlineStr">
        <is>
          <t>Farming</t>
        </is>
      </c>
      <c r="D82" t="inlineStr">
        <is>
          <t>Taejo</t>
        </is>
      </c>
      <c r="E82" t="n">
        <v>2</v>
      </c>
      <c r="F82" t="inlineStr">
        <is>
          <t>16:00-24:00</t>
        </is>
      </c>
      <c r="H82" t="inlineStr">
        <is>
          <t>ELMORE &amp; DD</t>
        </is>
      </c>
    </row>
    <row r="83">
      <c r="A83" t="inlineStr">
        <is>
          <t>2026-09-20</t>
        </is>
      </c>
      <c r="B83" t="inlineStr">
        <is>
          <t>Sun</t>
        </is>
      </c>
      <c r="C83" t="inlineStr">
        <is>
          <t>Farming</t>
        </is>
      </c>
      <c r="D83" t="inlineStr">
        <is>
          <t>Taejo</t>
        </is>
      </c>
      <c r="E83" t="n">
        <v>3</v>
      </c>
      <c r="F83" t="inlineStr">
        <is>
          <t>24:00-08:00</t>
        </is>
      </c>
      <c r="G83" t="inlineStr">
        <is>
          <t>Chester</t>
        </is>
      </c>
      <c r="H83" t="inlineStr">
        <is>
          <t>Elmore</t>
        </is>
      </c>
      <c r="I83" t="n">
        <v>0.016</v>
      </c>
      <c r="J83" t="n">
        <v>64304</v>
      </c>
    </row>
    <row r="84">
      <c r="A84" t="inlineStr">
        <is>
          <t>2026-09-21</t>
        </is>
      </c>
      <c r="B84" t="inlineStr">
        <is>
          <t>Mon</t>
        </is>
      </c>
      <c r="C84" t="inlineStr">
        <is>
          <t>Client</t>
        </is>
      </c>
      <c r="D84" t="inlineStr">
        <is>
          <t>ADA</t>
        </is>
      </c>
      <c r="E84" t="n">
        <v>1</v>
      </c>
      <c r="F84" t="inlineStr">
        <is>
          <t>09:00-17:00</t>
        </is>
      </c>
      <c r="G84" t="inlineStr">
        <is>
          <t>Cejay</t>
        </is>
      </c>
    </row>
    <row r="85">
      <c r="A85" t="inlineStr">
        <is>
          <t>2026-09-21</t>
        </is>
      </c>
      <c r="B85" t="inlineStr">
        <is>
          <t>Mon</t>
        </is>
      </c>
      <c r="C85" t="inlineStr">
        <is>
          <t>Client</t>
        </is>
      </c>
      <c r="D85" t="inlineStr">
        <is>
          <t>ADA</t>
        </is>
      </c>
      <c r="E85" t="n">
        <v>2</v>
      </c>
      <c r="F85" t="inlineStr">
        <is>
          <t>OFF</t>
        </is>
      </c>
    </row>
    <row r="86">
      <c r="A86" t="inlineStr">
        <is>
          <t>2026-09-21</t>
        </is>
      </c>
      <c r="B86" t="inlineStr">
        <is>
          <t>Mon</t>
        </is>
      </c>
      <c r="C86" t="inlineStr">
        <is>
          <t>Client</t>
        </is>
      </c>
      <c r="D86" t="inlineStr">
        <is>
          <t>Alex</t>
        </is>
      </c>
      <c r="E86" t="n">
        <v>1</v>
      </c>
      <c r="F86" t="inlineStr">
        <is>
          <t>08:00-13:00</t>
        </is>
      </c>
      <c r="H86" t="inlineStr">
        <is>
          <t>Ivory Tower 4~5</t>
        </is>
      </c>
    </row>
    <row r="87">
      <c r="A87" t="inlineStr">
        <is>
          <t>2026-09-21</t>
        </is>
      </c>
      <c r="B87" t="inlineStr">
        <is>
          <t>Mon</t>
        </is>
      </c>
      <c r="C87" t="inlineStr">
        <is>
          <t>Client</t>
        </is>
      </c>
      <c r="D87" t="inlineStr">
        <is>
          <t>Alex</t>
        </is>
      </c>
      <c r="E87" t="n">
        <v>2</v>
      </c>
      <c r="F87" t="inlineStr">
        <is>
          <t>16:00-24:00</t>
        </is>
      </c>
      <c r="H87" t="inlineStr">
        <is>
          <t>Ivory Tower 6~7</t>
        </is>
      </c>
    </row>
    <row r="88">
      <c r="A88" t="inlineStr">
        <is>
          <t>2026-09-21</t>
        </is>
      </c>
      <c r="B88" t="inlineStr">
        <is>
          <t>Mon</t>
        </is>
      </c>
      <c r="C88" t="inlineStr">
        <is>
          <t>Client</t>
        </is>
      </c>
      <c r="D88" t="inlineStr">
        <is>
          <t>Alex</t>
        </is>
      </c>
      <c r="E88" t="n">
        <v>3</v>
      </c>
      <c r="F88" t="inlineStr">
        <is>
          <t>03:00-08:00</t>
        </is>
      </c>
      <c r="G88" t="inlineStr">
        <is>
          <t>Raymond</t>
        </is>
      </c>
      <c r="H88" t="inlineStr">
        <is>
          <t>Ivory Tower 4~5</t>
        </is>
      </c>
      <c r="I88" t="n">
        <v>0.0054</v>
      </c>
    </row>
    <row r="89">
      <c r="A89" t="inlineStr">
        <is>
          <t>2026-09-21</t>
        </is>
      </c>
      <c r="B89" t="inlineStr">
        <is>
          <t>Mon</t>
        </is>
      </c>
      <c r="C89" t="inlineStr">
        <is>
          <t>Client</t>
        </is>
      </c>
      <c r="D89" t="inlineStr">
        <is>
          <t>Beongaebul</t>
        </is>
      </c>
      <c r="E89" t="n">
        <v>1</v>
      </c>
      <c r="F89" t="inlineStr">
        <is>
          <t>OFF</t>
        </is>
      </c>
    </row>
    <row r="90">
      <c r="A90" t="inlineStr">
        <is>
          <t>2026-09-21</t>
        </is>
      </c>
      <c r="B90" t="inlineStr">
        <is>
          <t>Mon</t>
        </is>
      </c>
      <c r="C90" t="inlineStr">
        <is>
          <t>Client</t>
        </is>
      </c>
      <c r="D90" t="inlineStr">
        <is>
          <t>Captain</t>
        </is>
      </c>
      <c r="E90" t="n">
        <v>1</v>
      </c>
      <c r="F90" t="inlineStr">
        <is>
          <t>OFF</t>
        </is>
      </c>
    </row>
    <row r="91">
      <c r="A91" t="inlineStr">
        <is>
          <t>2026-09-21</t>
        </is>
      </c>
      <c r="B91" t="inlineStr">
        <is>
          <t>Mon</t>
        </is>
      </c>
      <c r="C91" t="inlineStr">
        <is>
          <t>Client</t>
        </is>
      </c>
      <c r="D91" t="inlineStr">
        <is>
          <t>Captain</t>
        </is>
      </c>
      <c r="E91" t="n">
        <v>2</v>
      </c>
      <c r="F91" t="inlineStr">
        <is>
          <t>OFF</t>
        </is>
      </c>
    </row>
    <row r="92">
      <c r="A92" t="inlineStr">
        <is>
          <t>2026-09-21</t>
        </is>
      </c>
      <c r="B92" t="inlineStr">
        <is>
          <t>Mon</t>
        </is>
      </c>
      <c r="C92" t="inlineStr">
        <is>
          <t>Client</t>
        </is>
      </c>
      <c r="D92" t="inlineStr">
        <is>
          <t>Dalo</t>
        </is>
      </c>
      <c r="E92" t="n">
        <v>1</v>
      </c>
      <c r="F92" t="inlineStr">
        <is>
          <t>OFF</t>
        </is>
      </c>
    </row>
    <row r="93">
      <c r="A93" t="inlineStr">
        <is>
          <t>2026-09-21</t>
        </is>
      </c>
      <c r="B93" t="inlineStr">
        <is>
          <t>Mon</t>
        </is>
      </c>
      <c r="C93" t="inlineStr">
        <is>
          <t>Client</t>
        </is>
      </c>
      <c r="D93" t="inlineStr">
        <is>
          <t>Dalo</t>
        </is>
      </c>
      <c r="E93" t="n">
        <v>2</v>
      </c>
      <c r="F93" t="inlineStr">
        <is>
          <t>OFF</t>
        </is>
      </c>
    </row>
    <row r="94">
      <c r="A94" t="inlineStr">
        <is>
          <t>2026-09-21</t>
        </is>
      </c>
      <c r="B94" t="inlineStr">
        <is>
          <t>Mon</t>
        </is>
      </c>
      <c r="C94" t="inlineStr">
        <is>
          <t>Client</t>
        </is>
      </c>
      <c r="D94" t="inlineStr">
        <is>
          <t>Dalo</t>
        </is>
      </c>
      <c r="E94" t="n">
        <v>3</v>
      </c>
      <c r="F94" t="inlineStr">
        <is>
          <t>OFF</t>
        </is>
      </c>
    </row>
    <row r="95">
      <c r="A95" t="inlineStr">
        <is>
          <t>2026-09-21</t>
        </is>
      </c>
      <c r="B95" t="inlineStr">
        <is>
          <t>Mon</t>
        </is>
      </c>
      <c r="C95" t="inlineStr">
        <is>
          <t>Client</t>
        </is>
      </c>
      <c r="D95" t="inlineStr">
        <is>
          <t>Dodam</t>
        </is>
      </c>
      <c r="E95" t="n">
        <v>1</v>
      </c>
      <c r="F95" t="inlineStr">
        <is>
          <t>23:00-11:00</t>
        </is>
      </c>
      <c r="G95" t="inlineStr">
        <is>
          <t>Cath Valdez</t>
        </is>
      </c>
      <c r="H95" t="inlineStr">
        <is>
          <t>Island of Dreams</t>
        </is>
      </c>
      <c r="I95" t="n">
        <v>0.0721</v>
      </c>
    </row>
    <row r="96">
      <c r="A96" t="inlineStr">
        <is>
          <t>2026-09-21</t>
        </is>
      </c>
      <c r="B96" t="inlineStr">
        <is>
          <t>Mon</t>
        </is>
      </c>
      <c r="C96" t="inlineStr">
        <is>
          <t>Client</t>
        </is>
      </c>
      <c r="D96" t="inlineStr">
        <is>
          <t>Dodam</t>
        </is>
      </c>
      <c r="E96" t="n">
        <v>2</v>
      </c>
      <c r="F96" t="inlineStr">
        <is>
          <t>07:00-19:00</t>
        </is>
      </c>
    </row>
    <row r="97">
      <c r="A97" t="inlineStr">
        <is>
          <t>2026-09-21</t>
        </is>
      </c>
      <c r="B97" t="inlineStr">
        <is>
          <t>Mon</t>
        </is>
      </c>
      <c r="C97" t="inlineStr">
        <is>
          <t>Client</t>
        </is>
      </c>
      <c r="D97" t="inlineStr">
        <is>
          <t>Dol</t>
        </is>
      </c>
      <c r="E97" t="n">
        <v>1</v>
      </c>
      <c r="F97" t="inlineStr">
        <is>
          <t>OFF</t>
        </is>
      </c>
      <c r="H97" t="inlineStr">
        <is>
          <t>Dragon Valley</t>
        </is>
      </c>
    </row>
    <row r="98">
      <c r="A98" t="inlineStr">
        <is>
          <t>2026-09-21</t>
        </is>
      </c>
      <c r="B98" t="inlineStr">
        <is>
          <t>Mon</t>
        </is>
      </c>
      <c r="C98" t="inlineStr">
        <is>
          <t>Client</t>
        </is>
      </c>
      <c r="D98" t="inlineStr">
        <is>
          <t>Dol</t>
        </is>
      </c>
      <c r="E98" t="n">
        <v>2</v>
      </c>
      <c r="F98" t="inlineStr">
        <is>
          <t>OFF</t>
        </is>
      </c>
    </row>
    <row r="99">
      <c r="A99" t="inlineStr">
        <is>
          <t>2026-09-21</t>
        </is>
      </c>
      <c r="B99" t="inlineStr">
        <is>
          <t>Mon</t>
        </is>
      </c>
      <c r="C99" t="inlineStr">
        <is>
          <t>Client</t>
        </is>
      </c>
      <c r="D99" t="inlineStr">
        <is>
          <t>Doma</t>
        </is>
      </c>
      <c r="E99" t="n">
        <v>1</v>
      </c>
      <c r="F99" t="inlineStr">
        <is>
          <t>OFF</t>
        </is>
      </c>
    </row>
    <row r="100">
      <c r="A100" t="inlineStr">
        <is>
          <t>2026-09-21</t>
        </is>
      </c>
      <c r="B100" t="inlineStr">
        <is>
          <t>Mon</t>
        </is>
      </c>
      <c r="C100" t="inlineStr">
        <is>
          <t>Client</t>
        </is>
      </c>
      <c r="D100" t="inlineStr">
        <is>
          <t>Doma</t>
        </is>
      </c>
      <c r="E100" t="n">
        <v>2</v>
      </c>
      <c r="F100" t="inlineStr">
        <is>
          <t>21:00-09:00</t>
        </is>
      </c>
      <c r="G100" t="inlineStr">
        <is>
          <t>Mark Anthony</t>
        </is>
      </c>
      <c r="H100" t="inlineStr">
        <is>
          <t>Ivory Tower</t>
        </is>
      </c>
      <c r="I100" t="n">
        <v>0.023</v>
      </c>
    </row>
    <row r="101">
      <c r="A101" t="inlineStr">
        <is>
          <t>2026-09-21</t>
        </is>
      </c>
      <c r="B101" t="inlineStr">
        <is>
          <t>Mon</t>
        </is>
      </c>
      <c r="C101" t="inlineStr">
        <is>
          <t>Client</t>
        </is>
      </c>
      <c r="D101" t="inlineStr">
        <is>
          <t>Duga</t>
        </is>
      </c>
      <c r="E101" t="n">
        <v>1</v>
      </c>
      <c r="F101" t="inlineStr">
        <is>
          <t>07:00-15:00</t>
        </is>
      </c>
    </row>
    <row r="102">
      <c r="A102" t="inlineStr">
        <is>
          <t>2026-09-21</t>
        </is>
      </c>
      <c r="B102" t="inlineStr">
        <is>
          <t>Mon</t>
        </is>
      </c>
      <c r="C102" t="inlineStr">
        <is>
          <t>Client</t>
        </is>
      </c>
      <c r="D102" t="inlineStr">
        <is>
          <t>Elf</t>
        </is>
      </c>
      <c r="E102" t="n">
        <v>1</v>
      </c>
      <c r="F102" t="inlineStr">
        <is>
          <t>OFF</t>
        </is>
      </c>
    </row>
    <row r="103">
      <c r="A103" t="inlineStr">
        <is>
          <t>2026-09-21</t>
        </is>
      </c>
      <c r="B103" t="inlineStr">
        <is>
          <t>Mon</t>
        </is>
      </c>
      <c r="C103" t="inlineStr">
        <is>
          <t>Client</t>
        </is>
      </c>
      <c r="D103" t="inlineStr">
        <is>
          <t>Geonbae</t>
        </is>
      </c>
      <c r="E103" t="n">
        <v>1</v>
      </c>
      <c r="F103" t="inlineStr">
        <is>
          <t>OFF</t>
        </is>
      </c>
    </row>
    <row r="104">
      <c r="A104" t="inlineStr">
        <is>
          <t>2026-09-21</t>
        </is>
      </c>
      <c r="B104" t="inlineStr">
        <is>
          <t>Mon</t>
        </is>
      </c>
      <c r="C104" t="inlineStr">
        <is>
          <t>Client</t>
        </is>
      </c>
      <c r="D104" t="inlineStr">
        <is>
          <t>Geonbae</t>
        </is>
      </c>
      <c r="E104" t="n">
        <v>2</v>
      </c>
      <c r="F104" t="inlineStr">
        <is>
          <t>23:00-07:00</t>
        </is>
      </c>
      <c r="G104" t="inlineStr">
        <is>
          <t>Jheco</t>
        </is>
      </c>
      <c r="H104" t="inlineStr">
        <is>
          <t>Ivory Tower</t>
        </is>
      </c>
      <c r="I104" t="n">
        <v>0.0601</v>
      </c>
    </row>
    <row r="105">
      <c r="A105" t="inlineStr">
        <is>
          <t>2026-09-21</t>
        </is>
      </c>
      <c r="B105" t="inlineStr">
        <is>
          <t>Mon</t>
        </is>
      </c>
      <c r="C105" t="inlineStr">
        <is>
          <t>Client</t>
        </is>
      </c>
      <c r="D105" t="inlineStr">
        <is>
          <t>Goop</t>
        </is>
      </c>
      <c r="E105" t="n">
        <v>1</v>
      </c>
      <c r="F105" t="inlineStr">
        <is>
          <t>OFF</t>
        </is>
      </c>
    </row>
    <row r="106">
      <c r="A106" t="inlineStr">
        <is>
          <t>2026-09-21</t>
        </is>
      </c>
      <c r="B106" t="inlineStr">
        <is>
          <t>Mon</t>
        </is>
      </c>
      <c r="C106" t="inlineStr">
        <is>
          <t>Client</t>
        </is>
      </c>
      <c r="D106" t="inlineStr">
        <is>
          <t>Heon</t>
        </is>
      </c>
      <c r="E106" t="n">
        <v>1</v>
      </c>
      <c r="F106" t="inlineStr">
        <is>
          <t>OFF</t>
        </is>
      </c>
      <c r="H106" t="inlineStr">
        <is>
          <t>Abandoned Land (Abyss) 6
ivory tower 2</t>
        </is>
      </c>
      <c r="K106" t="inlineStr">
        <is>
          <t>E-Potion O</t>
        </is>
      </c>
      <c r="L106" t="inlineStr">
        <is>
          <t>555 buff</t>
        </is>
      </c>
      <c r="M106" t="inlineStr">
        <is>
          <t>Shield, Armour O</t>
        </is>
      </c>
    </row>
    <row r="107">
      <c r="A107" t="inlineStr">
        <is>
          <t>2026-09-21</t>
        </is>
      </c>
      <c r="B107" t="inlineStr">
        <is>
          <t>Mon</t>
        </is>
      </c>
      <c r="C107" t="inlineStr">
        <is>
          <t>Client</t>
        </is>
      </c>
      <c r="D107" t="inlineStr">
        <is>
          <t>Jjuni</t>
        </is>
      </c>
      <c r="E107" t="n">
        <v>1</v>
      </c>
      <c r="F107" t="inlineStr">
        <is>
          <t>14:00-21:00</t>
        </is>
      </c>
      <c r="G107" t="inlineStr">
        <is>
          <t>Cejay</t>
        </is>
      </c>
    </row>
    <row r="108">
      <c r="A108" t="inlineStr">
        <is>
          <t>2026-09-21</t>
        </is>
      </c>
      <c r="B108" t="inlineStr">
        <is>
          <t>Mon</t>
        </is>
      </c>
      <c r="C108" t="inlineStr">
        <is>
          <t>Client</t>
        </is>
      </c>
      <c r="D108" t="inlineStr">
        <is>
          <t>Jjuni</t>
        </is>
      </c>
      <c r="E108" t="n">
        <v>2</v>
      </c>
      <c r="F108" t="inlineStr">
        <is>
          <t>OFF</t>
        </is>
      </c>
    </row>
    <row r="109">
      <c r="A109" t="inlineStr">
        <is>
          <t>2026-09-21</t>
        </is>
      </c>
      <c r="B109" t="inlineStr">
        <is>
          <t>Mon</t>
        </is>
      </c>
      <c r="C109" t="inlineStr">
        <is>
          <t>Client</t>
        </is>
      </c>
      <c r="D109" t="inlineStr">
        <is>
          <t>Jjuni</t>
        </is>
      </c>
      <c r="E109" t="n">
        <v>3</v>
      </c>
      <c r="F109" t="inlineStr">
        <is>
          <t>OFF</t>
        </is>
      </c>
      <c r="H109" t="inlineStr">
        <is>
          <t>Ivory Tower</t>
        </is>
      </c>
    </row>
    <row r="110">
      <c r="A110" t="inlineStr">
        <is>
          <t>2026-09-21</t>
        </is>
      </c>
      <c r="B110" t="inlineStr">
        <is>
          <t>Mon</t>
        </is>
      </c>
      <c r="C110" t="inlineStr">
        <is>
          <t>Client</t>
        </is>
      </c>
      <c r="D110" t="inlineStr">
        <is>
          <t>Jo</t>
        </is>
      </c>
      <c r="E110" t="n">
        <v>1</v>
      </c>
      <c r="F110" t="inlineStr">
        <is>
          <t>OFF</t>
        </is>
      </c>
    </row>
    <row r="111">
      <c r="A111" t="inlineStr">
        <is>
          <t>2026-09-21</t>
        </is>
      </c>
      <c r="B111" t="inlineStr">
        <is>
          <t>Mon</t>
        </is>
      </c>
      <c r="C111" t="inlineStr">
        <is>
          <t>Client</t>
        </is>
      </c>
      <c r="D111" t="inlineStr">
        <is>
          <t>Lammy Queen</t>
        </is>
      </c>
      <c r="E111" t="n">
        <v>1</v>
      </c>
      <c r="F111" t="inlineStr">
        <is>
          <t>OFF</t>
        </is>
      </c>
    </row>
    <row r="112">
      <c r="A112" t="inlineStr">
        <is>
          <t>2026-09-21</t>
        </is>
      </c>
      <c r="B112" t="inlineStr">
        <is>
          <t>Mon</t>
        </is>
      </c>
      <c r="C112" t="inlineStr">
        <is>
          <t>Client</t>
        </is>
      </c>
      <c r="D112" t="inlineStr">
        <is>
          <t>Lammy Queen</t>
        </is>
      </c>
      <c r="E112" t="n">
        <v>2</v>
      </c>
      <c r="F112" t="inlineStr">
        <is>
          <t>01:00-09:00</t>
        </is>
      </c>
      <c r="G112" t="inlineStr">
        <is>
          <t>Rhuzsel</t>
        </is>
      </c>
      <c r="H112" t="inlineStr">
        <is>
          <t>Abandon Land</t>
        </is>
      </c>
      <c r="I112" t="n">
        <v>0.0601</v>
      </c>
    </row>
    <row r="113">
      <c r="A113" t="inlineStr">
        <is>
          <t>2026-09-21</t>
        </is>
      </c>
      <c r="B113" t="inlineStr">
        <is>
          <t>Mon</t>
        </is>
      </c>
      <c r="C113" t="inlineStr">
        <is>
          <t>Client</t>
        </is>
      </c>
      <c r="D113" t="inlineStr">
        <is>
          <t>Lolly</t>
        </is>
      </c>
      <c r="E113" t="n">
        <v>1</v>
      </c>
      <c r="F113" t="inlineStr">
        <is>
          <t>07:00-15:00</t>
        </is>
      </c>
      <c r="G113" t="inlineStr">
        <is>
          <t>Mitchell</t>
        </is>
      </c>
      <c r="H113" t="inlineStr">
        <is>
          <t>abandoned land 3
a land of corruption5</t>
        </is>
      </c>
      <c r="K113" t="inlineStr">
        <is>
          <t>E-Potion O</t>
        </is>
      </c>
      <c r="L113" t="inlineStr">
        <is>
          <t>555 buff</t>
        </is>
      </c>
      <c r="M113" t="inlineStr">
        <is>
          <t>Shield, Armour O</t>
        </is>
      </c>
    </row>
    <row r="114">
      <c r="A114" t="inlineStr">
        <is>
          <t>2026-09-21</t>
        </is>
      </c>
      <c r="B114" t="inlineStr">
        <is>
          <t>Mon</t>
        </is>
      </c>
      <c r="C114" t="inlineStr">
        <is>
          <t>Client</t>
        </is>
      </c>
      <c r="D114" t="inlineStr">
        <is>
          <t>Mukkbo</t>
        </is>
      </c>
      <c r="E114" t="n">
        <v>1</v>
      </c>
      <c r="F114" t="inlineStr">
        <is>
          <t>OFF</t>
        </is>
      </c>
    </row>
    <row r="115">
      <c r="A115" t="inlineStr">
        <is>
          <t>2026-09-21</t>
        </is>
      </c>
      <c r="B115" t="inlineStr">
        <is>
          <t>Mon</t>
        </is>
      </c>
      <c r="C115" t="inlineStr">
        <is>
          <t>Client</t>
        </is>
      </c>
      <c r="D115" t="inlineStr">
        <is>
          <t>Mukkbo</t>
        </is>
      </c>
      <c r="E115" t="n">
        <v>2</v>
      </c>
      <c r="F115" t="inlineStr">
        <is>
          <t>OFF</t>
        </is>
      </c>
    </row>
    <row r="116">
      <c r="A116" t="inlineStr">
        <is>
          <t>2026-09-21</t>
        </is>
      </c>
      <c r="B116" t="inlineStr">
        <is>
          <t>Mon</t>
        </is>
      </c>
      <c r="C116" t="inlineStr">
        <is>
          <t>Client</t>
        </is>
      </c>
      <c r="D116" t="inlineStr">
        <is>
          <t>Munjin</t>
        </is>
      </c>
      <c r="E116" t="n">
        <v>1</v>
      </c>
      <c r="F116" t="inlineStr">
        <is>
          <t>OFF</t>
        </is>
      </c>
    </row>
    <row r="117">
      <c r="A117" t="inlineStr">
        <is>
          <t>2026-09-21</t>
        </is>
      </c>
      <c r="B117" t="inlineStr">
        <is>
          <t>Mon</t>
        </is>
      </c>
      <c r="C117" t="inlineStr">
        <is>
          <t>Client</t>
        </is>
      </c>
      <c r="D117" t="inlineStr">
        <is>
          <t>Neburegi</t>
        </is>
      </c>
      <c r="E117" t="n">
        <v>1</v>
      </c>
      <c r="F117" t="inlineStr">
        <is>
          <t>OFF</t>
        </is>
      </c>
    </row>
    <row r="118">
      <c r="A118" t="inlineStr">
        <is>
          <t>2026-09-21</t>
        </is>
      </c>
      <c r="B118" t="inlineStr">
        <is>
          <t>Mon</t>
        </is>
      </c>
      <c r="C118" t="inlineStr">
        <is>
          <t>Client</t>
        </is>
      </c>
      <c r="D118" t="inlineStr">
        <is>
          <t>Olleh</t>
        </is>
      </c>
      <c r="E118" t="n">
        <v>1</v>
      </c>
      <c r="F118" t="inlineStr">
        <is>
          <t>OFF</t>
        </is>
      </c>
    </row>
    <row r="119">
      <c r="A119" t="inlineStr">
        <is>
          <t>2026-09-21</t>
        </is>
      </c>
      <c r="B119" t="inlineStr">
        <is>
          <t>Mon</t>
        </is>
      </c>
      <c r="C119" t="inlineStr">
        <is>
          <t>Client</t>
        </is>
      </c>
      <c r="D119" t="inlineStr">
        <is>
          <t>Olleh</t>
        </is>
      </c>
      <c r="E119" t="n">
        <v>2</v>
      </c>
      <c r="F119" t="inlineStr">
        <is>
          <t>23:00-01:00</t>
        </is>
      </c>
      <c r="G119" t="inlineStr">
        <is>
          <t>JM Racca</t>
        </is>
      </c>
      <c r="H119" t="inlineStr">
        <is>
          <t>Ivory Tower</t>
        </is>
      </c>
      <c r="I119" t="n">
        <v>0.0027</v>
      </c>
    </row>
    <row r="120">
      <c r="A120" t="inlineStr">
        <is>
          <t>2026-09-21</t>
        </is>
      </c>
      <c r="B120" t="inlineStr">
        <is>
          <t>Mon</t>
        </is>
      </c>
      <c r="C120" t="inlineStr">
        <is>
          <t>Client</t>
        </is>
      </c>
      <c r="D120" t="inlineStr">
        <is>
          <t>Perez</t>
        </is>
      </c>
      <c r="E120" t="n">
        <v>1</v>
      </c>
      <c r="F120" t="inlineStr">
        <is>
          <t>08:00-16:00</t>
        </is>
      </c>
      <c r="G120" t="inlineStr">
        <is>
          <t>Samantha</t>
        </is>
      </c>
    </row>
    <row r="121">
      <c r="A121" t="inlineStr">
        <is>
          <t>2026-09-21</t>
        </is>
      </c>
      <c r="B121" t="inlineStr">
        <is>
          <t>Mon</t>
        </is>
      </c>
      <c r="C121" t="inlineStr">
        <is>
          <t>Client</t>
        </is>
      </c>
      <c r="D121" t="inlineStr">
        <is>
          <t>Perez</t>
        </is>
      </c>
      <c r="E121" t="n">
        <v>2</v>
      </c>
      <c r="F121" t="inlineStr">
        <is>
          <t>OFF</t>
        </is>
      </c>
      <c r="H121" t="inlineStr">
        <is>
          <t>LAND OF FALLEN / SPATOY</t>
        </is>
      </c>
    </row>
    <row r="122">
      <c r="A122" t="inlineStr">
        <is>
          <t>2026-09-21</t>
        </is>
      </c>
      <c r="B122" t="inlineStr">
        <is>
          <t>Mon</t>
        </is>
      </c>
      <c r="C122" t="inlineStr">
        <is>
          <t>Client</t>
        </is>
      </c>
      <c r="D122" t="inlineStr">
        <is>
          <t>Perez</t>
        </is>
      </c>
      <c r="E122" t="n">
        <v>3</v>
      </c>
      <c r="F122" t="inlineStr">
        <is>
          <t>21:00-05:00</t>
        </is>
      </c>
      <c r="G122" t="inlineStr">
        <is>
          <t>Zenron</t>
        </is>
      </c>
      <c r="H122" t="inlineStr">
        <is>
          <t>Abandon Land</t>
        </is>
      </c>
      <c r="I122" t="n">
        <v>0.0121</v>
      </c>
    </row>
    <row r="123">
      <c r="A123" t="inlineStr">
        <is>
          <t>2026-09-21</t>
        </is>
      </c>
      <c r="B123" t="inlineStr">
        <is>
          <t>Mon</t>
        </is>
      </c>
      <c r="C123" t="inlineStr">
        <is>
          <t>Client</t>
        </is>
      </c>
      <c r="D123" t="inlineStr">
        <is>
          <t>Power20</t>
        </is>
      </c>
      <c r="E123" t="n">
        <v>1</v>
      </c>
      <c r="F123" t="inlineStr">
        <is>
          <t>10:00-20:00</t>
        </is>
      </c>
      <c r="G123" t="inlineStr">
        <is>
          <t>Isiah</t>
        </is>
      </c>
    </row>
    <row r="124">
      <c r="A124" t="inlineStr">
        <is>
          <t>2026-09-21</t>
        </is>
      </c>
      <c r="B124" t="inlineStr">
        <is>
          <t>Mon</t>
        </is>
      </c>
      <c r="C124" t="inlineStr">
        <is>
          <t>Client</t>
        </is>
      </c>
      <c r="D124" t="inlineStr">
        <is>
          <t>Power20</t>
        </is>
      </c>
      <c r="E124" t="n">
        <v>2</v>
      </c>
      <c r="F124" t="inlineStr">
        <is>
          <t>OFF</t>
        </is>
      </c>
    </row>
    <row r="125">
      <c r="A125" t="inlineStr">
        <is>
          <t>2026-09-21</t>
        </is>
      </c>
      <c r="B125" t="inlineStr">
        <is>
          <t>Mon</t>
        </is>
      </c>
      <c r="C125" t="inlineStr">
        <is>
          <t>Client</t>
        </is>
      </c>
      <c r="D125" t="inlineStr">
        <is>
          <t>Power20</t>
        </is>
      </c>
      <c r="E125" t="n">
        <v>3</v>
      </c>
      <c r="F125" t="inlineStr">
        <is>
          <t>24:00-10:00</t>
        </is>
      </c>
      <c r="G125" t="inlineStr">
        <is>
          <t>Roderick</t>
        </is>
      </c>
      <c r="H125" t="inlineStr">
        <is>
          <t>Ivory Tower</t>
        </is>
      </c>
      <c r="I125" t="n">
        <v>0.0142</v>
      </c>
    </row>
    <row r="126">
      <c r="A126" t="inlineStr">
        <is>
          <t>2026-09-21</t>
        </is>
      </c>
      <c r="B126" t="inlineStr">
        <is>
          <t>Mon</t>
        </is>
      </c>
      <c r="C126" t="inlineStr">
        <is>
          <t>Client</t>
        </is>
      </c>
      <c r="D126" t="inlineStr">
        <is>
          <t>Real Madrid</t>
        </is>
      </c>
      <c r="E126" t="n">
        <v>1</v>
      </c>
      <c r="F126" t="inlineStr">
        <is>
          <t>24:00-09:00</t>
        </is>
      </c>
      <c r="G126" t="inlineStr">
        <is>
          <t>Mark Valdez</t>
        </is>
      </c>
      <c r="H126" t="inlineStr">
        <is>
          <t>Ivory Tower</t>
        </is>
      </c>
      <c r="I126" t="n">
        <v>0.0165</v>
      </c>
    </row>
    <row r="127">
      <c r="A127" t="inlineStr">
        <is>
          <t>2026-09-21</t>
        </is>
      </c>
      <c r="B127" t="inlineStr">
        <is>
          <t>Mon</t>
        </is>
      </c>
      <c r="C127" t="inlineStr">
        <is>
          <t>Client</t>
        </is>
      </c>
      <c r="D127" t="inlineStr">
        <is>
          <t>Real Madrid</t>
        </is>
      </c>
      <c r="E127" t="n">
        <v>2</v>
      </c>
      <c r="F127" t="inlineStr">
        <is>
          <t>16:00-24:00</t>
        </is>
      </c>
      <c r="G127" t="inlineStr">
        <is>
          <t>Jay Penilla</t>
        </is>
      </c>
      <c r="H127" t="inlineStr">
        <is>
          <t>Ivory Tower</t>
        </is>
      </c>
      <c r="I127" t="n">
        <v>0.0063</v>
      </c>
    </row>
    <row r="128">
      <c r="A128" t="inlineStr">
        <is>
          <t>2026-09-21</t>
        </is>
      </c>
      <c r="B128" t="inlineStr">
        <is>
          <t>Mon</t>
        </is>
      </c>
      <c r="C128" t="inlineStr">
        <is>
          <t>Client</t>
        </is>
      </c>
      <c r="D128" t="inlineStr">
        <is>
          <t>Real Madrid</t>
        </is>
      </c>
      <c r="E128" t="n">
        <v>3</v>
      </c>
      <c r="F128" t="inlineStr">
        <is>
          <t>OFF</t>
        </is>
      </c>
    </row>
    <row r="129">
      <c r="A129" t="inlineStr">
        <is>
          <t>2026-09-21</t>
        </is>
      </c>
      <c r="B129" t="inlineStr">
        <is>
          <t>Mon</t>
        </is>
      </c>
      <c r="C129" t="inlineStr">
        <is>
          <t>Client</t>
        </is>
      </c>
      <c r="D129" t="inlineStr">
        <is>
          <t>Return</t>
        </is>
      </c>
      <c r="E129" t="n">
        <v>1</v>
      </c>
      <c r="F129" t="inlineStr">
        <is>
          <t>OFF</t>
        </is>
      </c>
      <c r="H129" t="inlineStr">
        <is>
          <t>Ivory Tower</t>
        </is>
      </c>
    </row>
    <row r="130">
      <c r="A130" t="inlineStr">
        <is>
          <t>2026-09-21</t>
        </is>
      </c>
      <c r="B130" t="inlineStr">
        <is>
          <t>Mon</t>
        </is>
      </c>
      <c r="C130" t="inlineStr">
        <is>
          <t>Client</t>
        </is>
      </c>
      <c r="D130" t="inlineStr">
        <is>
          <t>Road</t>
        </is>
      </c>
      <c r="E130" t="n">
        <v>1</v>
      </c>
      <c r="F130" t="inlineStr">
        <is>
          <t>OFF</t>
        </is>
      </c>
    </row>
    <row r="131">
      <c r="A131" t="inlineStr">
        <is>
          <t>2026-09-21</t>
        </is>
      </c>
      <c r="B131" t="inlineStr">
        <is>
          <t>Mon</t>
        </is>
      </c>
      <c r="C131" t="inlineStr">
        <is>
          <t>Client</t>
        </is>
      </c>
      <c r="D131" t="inlineStr">
        <is>
          <t>SSEN</t>
        </is>
      </c>
      <c r="E131" t="n">
        <v>1</v>
      </c>
      <c r="F131" t="inlineStr">
        <is>
          <t>07:00-19:00</t>
        </is>
      </c>
      <c r="G131" t="inlineStr">
        <is>
          <t>Christelle</t>
        </is>
      </c>
    </row>
    <row r="132">
      <c r="A132" t="inlineStr">
        <is>
          <t>2026-09-21</t>
        </is>
      </c>
      <c r="B132" t="inlineStr">
        <is>
          <t>Mon</t>
        </is>
      </c>
      <c r="C132" t="inlineStr">
        <is>
          <t>Client</t>
        </is>
      </c>
      <c r="D132" t="inlineStr">
        <is>
          <t>Tiger</t>
        </is>
      </c>
      <c r="E132" t="n">
        <v>1</v>
      </c>
      <c r="F132" t="inlineStr">
        <is>
          <t>OFF</t>
        </is>
      </c>
    </row>
    <row r="133">
      <c r="A133" t="inlineStr">
        <is>
          <t>2026-09-21</t>
        </is>
      </c>
      <c r="B133" t="inlineStr">
        <is>
          <t>Mon</t>
        </is>
      </c>
      <c r="C133" t="inlineStr">
        <is>
          <t>Client</t>
        </is>
      </c>
      <c r="D133" t="inlineStr">
        <is>
          <t>Tiger</t>
        </is>
      </c>
      <c r="E133" t="n">
        <v>2</v>
      </c>
      <c r="F133" t="inlineStr">
        <is>
          <t>OFF</t>
        </is>
      </c>
      <c r="H133" t="inlineStr">
        <is>
          <t>Island of Dreams</t>
        </is>
      </c>
    </row>
    <row r="134">
      <c r="A134" t="inlineStr">
        <is>
          <t>2026-09-21</t>
        </is>
      </c>
      <c r="B134" t="inlineStr">
        <is>
          <t>Mon</t>
        </is>
      </c>
      <c r="C134" t="inlineStr">
        <is>
          <t>Client</t>
        </is>
      </c>
      <c r="D134" t="inlineStr">
        <is>
          <t>Yeoseo</t>
        </is>
      </c>
      <c r="E134" t="n">
        <v>1</v>
      </c>
      <c r="F134" t="inlineStr">
        <is>
          <t>OFF</t>
        </is>
      </c>
      <c r="H134" t="inlineStr">
        <is>
          <t>abandoned land 3
a land of corruption5</t>
        </is>
      </c>
      <c r="K134" t="inlineStr">
        <is>
          <t>E-Potion O</t>
        </is>
      </c>
      <c r="L134" t="inlineStr">
        <is>
          <t>555 buff</t>
        </is>
      </c>
      <c r="M134" t="inlineStr">
        <is>
          <t>Shield, Armour O</t>
        </is>
      </c>
    </row>
    <row r="135">
      <c r="A135" t="inlineStr">
        <is>
          <t>2026-09-21</t>
        </is>
      </c>
      <c r="B135" t="inlineStr">
        <is>
          <t>Mon</t>
        </is>
      </c>
      <c r="C135" t="inlineStr">
        <is>
          <t>Client</t>
        </is>
      </c>
      <c r="D135" t="inlineStr">
        <is>
          <t>Zombie</t>
        </is>
      </c>
      <c r="E135" t="n">
        <v>1</v>
      </c>
      <c r="F135" t="inlineStr">
        <is>
          <t>OFF</t>
        </is>
      </c>
    </row>
    <row r="136">
      <c r="A136" t="inlineStr">
        <is>
          <t>2026-09-21</t>
        </is>
      </c>
      <c r="B136" t="inlineStr">
        <is>
          <t>Mon</t>
        </is>
      </c>
      <c r="C136" t="inlineStr">
        <is>
          <t>Client</t>
        </is>
      </c>
      <c r="D136" t="inlineStr">
        <is>
          <t>Zombie</t>
        </is>
      </c>
      <c r="E136" t="n">
        <v>2</v>
      </c>
      <c r="F136" t="inlineStr">
        <is>
          <t>OFF</t>
        </is>
      </c>
    </row>
    <row r="137">
      <c r="A137" t="inlineStr">
        <is>
          <t>2026-09-21</t>
        </is>
      </c>
      <c r="B137" t="inlineStr">
        <is>
          <t>Mon</t>
        </is>
      </c>
      <c r="C137" t="inlineStr">
        <is>
          <t>Client</t>
        </is>
      </c>
      <c r="D137" t="inlineStr">
        <is>
          <t>Zombie</t>
        </is>
      </c>
      <c r="E137" t="n">
        <v>3</v>
      </c>
      <c r="F137" t="inlineStr">
        <is>
          <t>OFF</t>
        </is>
      </c>
      <c r="H137" t="inlineStr">
        <is>
          <t>Ivory Tower</t>
        </is>
      </c>
    </row>
    <row r="138">
      <c r="A138" t="inlineStr">
        <is>
          <t>2026-09-21</t>
        </is>
      </c>
      <c r="B138" t="inlineStr">
        <is>
          <t>Mon</t>
        </is>
      </c>
      <c r="C138" t="inlineStr">
        <is>
          <t>Farming</t>
        </is>
      </c>
      <c r="D138" t="inlineStr">
        <is>
          <t>Kangaroo</t>
        </is>
      </c>
      <c r="E138" t="n">
        <v>1</v>
      </c>
      <c r="F138" t="inlineStr">
        <is>
          <t>08:00-16:00</t>
        </is>
      </c>
      <c r="H138" t="inlineStr">
        <is>
          <t>Corrupted Land</t>
        </is>
      </c>
    </row>
    <row r="139">
      <c r="A139" t="inlineStr">
        <is>
          <t>2026-09-21</t>
        </is>
      </c>
      <c r="B139" t="inlineStr">
        <is>
          <t>Mon</t>
        </is>
      </c>
      <c r="C139" t="inlineStr">
        <is>
          <t>Farming</t>
        </is>
      </c>
      <c r="D139" t="inlineStr">
        <is>
          <t>Kangaroo</t>
        </is>
      </c>
      <c r="E139" t="n">
        <v>2</v>
      </c>
      <c r="F139" t="inlineStr">
        <is>
          <t>16:00-22:00</t>
        </is>
      </c>
      <c r="G139" t="inlineStr">
        <is>
          <t>Jel Rick</t>
        </is>
      </c>
      <c r="H139" t="inlineStr">
        <is>
          <t>Corrupted Land</t>
        </is>
      </c>
      <c r="I139" t="n">
        <v>0.0259</v>
      </c>
      <c r="J139" t="n">
        <v>34</v>
      </c>
      <c r="K139" t="n">
        <v>0</v>
      </c>
      <c r="L139" t="n">
        <v>0</v>
      </c>
      <c r="M139" t="n">
        <v>0</v>
      </c>
    </row>
    <row r="140">
      <c r="A140" t="inlineStr">
        <is>
          <t>2026-09-21</t>
        </is>
      </c>
      <c r="B140" t="inlineStr">
        <is>
          <t>Mon</t>
        </is>
      </c>
      <c r="C140" t="inlineStr">
        <is>
          <t>Farming</t>
        </is>
      </c>
      <c r="D140" t="inlineStr">
        <is>
          <t>Kangaroo</t>
        </is>
      </c>
      <c r="E140" t="n">
        <v>3</v>
      </c>
      <c r="F140" t="inlineStr">
        <is>
          <t>24:00-08:00</t>
        </is>
      </c>
      <c r="G140" t="inlineStr">
        <is>
          <t>Raul</t>
        </is>
      </c>
      <c r="H140" t="inlineStr">
        <is>
          <t>Corrupted Land</t>
        </is>
      </c>
      <c r="I140" t="n">
        <v>0.0611</v>
      </c>
      <c r="J140" t="n">
        <v>147865</v>
      </c>
    </row>
    <row r="141">
      <c r="A141" t="inlineStr">
        <is>
          <t>2026-09-21</t>
        </is>
      </c>
      <c r="B141" t="inlineStr">
        <is>
          <t>Mon</t>
        </is>
      </c>
      <c r="C141" t="inlineStr">
        <is>
          <t>Farming</t>
        </is>
      </c>
      <c r="D141" t="inlineStr">
        <is>
          <t>Kyoryu</t>
        </is>
      </c>
      <c r="E141" t="n">
        <v>1</v>
      </c>
      <c r="F141" t="inlineStr">
        <is>
          <t>08:00-16:00</t>
        </is>
      </c>
    </row>
    <row r="142">
      <c r="A142" t="inlineStr">
        <is>
          <t>2026-09-21</t>
        </is>
      </c>
      <c r="B142" t="inlineStr">
        <is>
          <t>Mon</t>
        </is>
      </c>
      <c r="C142" t="inlineStr">
        <is>
          <t>Farming</t>
        </is>
      </c>
      <c r="D142" t="inlineStr">
        <is>
          <t>Kyoryu</t>
        </is>
      </c>
      <c r="E142" t="n">
        <v>2</v>
      </c>
      <c r="F142" t="inlineStr">
        <is>
          <t>16:00-23:00</t>
        </is>
      </c>
      <c r="G142" t="inlineStr">
        <is>
          <t>Angelo Diocales</t>
        </is>
      </c>
      <c r="H142" t="inlineStr">
        <is>
          <t>ELMORE &amp; DD</t>
        </is>
      </c>
      <c r="I142" t="n">
        <v>-0.0354</v>
      </c>
      <c r="J142" t="n">
        <v>42608</v>
      </c>
    </row>
    <row r="143">
      <c r="A143" t="inlineStr">
        <is>
          <t>2026-09-21</t>
        </is>
      </c>
      <c r="B143" t="inlineStr">
        <is>
          <t>Mon</t>
        </is>
      </c>
      <c r="C143" t="inlineStr">
        <is>
          <t>Farming</t>
        </is>
      </c>
      <c r="D143" t="inlineStr">
        <is>
          <t>Kyoryu</t>
        </is>
      </c>
      <c r="E143" t="n">
        <v>3</v>
      </c>
      <c r="F143" t="inlineStr">
        <is>
          <t>24:00-01:00</t>
        </is>
      </c>
      <c r="G143" t="inlineStr">
        <is>
          <t>Monteza</t>
        </is>
      </c>
      <c r="H143" t="inlineStr">
        <is>
          <t>Elmore</t>
        </is>
      </c>
    </row>
    <row r="144">
      <c r="A144" t="inlineStr">
        <is>
          <t>2026-09-21</t>
        </is>
      </c>
      <c r="B144" t="inlineStr">
        <is>
          <t>Mon</t>
        </is>
      </c>
      <c r="C144" t="inlineStr">
        <is>
          <t>Farming</t>
        </is>
      </c>
      <c r="D144" t="inlineStr">
        <is>
          <t>Marcelo</t>
        </is>
      </c>
      <c r="E144" t="n">
        <v>1</v>
      </c>
      <c r="F144" t="inlineStr">
        <is>
          <t>08:00-16:00</t>
        </is>
      </c>
    </row>
    <row r="145">
      <c r="A145" t="inlineStr">
        <is>
          <t>2026-09-21</t>
        </is>
      </c>
      <c r="B145" t="inlineStr">
        <is>
          <t>Mon</t>
        </is>
      </c>
      <c r="C145" t="inlineStr">
        <is>
          <t>Farming</t>
        </is>
      </c>
      <c r="D145" t="inlineStr">
        <is>
          <t>Marcelo</t>
        </is>
      </c>
      <c r="E145" t="n">
        <v>2</v>
      </c>
      <c r="F145" t="inlineStr">
        <is>
          <t>20:00-24:00</t>
        </is>
      </c>
      <c r="G145" t="inlineStr">
        <is>
          <t>Angelo Diocales</t>
        </is>
      </c>
      <c r="H145" t="inlineStr">
        <is>
          <t>ELMORE &amp; DD</t>
        </is>
      </c>
      <c r="I145" t="n">
        <v>0.0078</v>
      </c>
      <c r="J145" t="n">
        <v>32375</v>
      </c>
    </row>
    <row r="146">
      <c r="A146" t="inlineStr">
        <is>
          <t>2026-09-21</t>
        </is>
      </c>
      <c r="B146" t="inlineStr">
        <is>
          <t>Mon</t>
        </is>
      </c>
      <c r="C146" t="inlineStr">
        <is>
          <t>Farming</t>
        </is>
      </c>
      <c r="D146" t="inlineStr">
        <is>
          <t>Marcelo</t>
        </is>
      </c>
      <c r="E146" t="n">
        <v>3</v>
      </c>
      <c r="F146" t="inlineStr">
        <is>
          <t>24:00-03:00</t>
        </is>
      </c>
      <c r="G146" t="inlineStr">
        <is>
          <t>Raymond</t>
        </is>
      </c>
      <c r="H146" t="inlineStr">
        <is>
          <t>Elmore</t>
        </is>
      </c>
      <c r="I146" t="n">
        <v>0.0045</v>
      </c>
      <c r="J146" t="n">
        <v>29230</v>
      </c>
    </row>
    <row r="147">
      <c r="A147" t="inlineStr">
        <is>
          <t>2026-09-21</t>
        </is>
      </c>
      <c r="B147" t="inlineStr">
        <is>
          <t>Mon</t>
        </is>
      </c>
      <c r="C147" t="inlineStr">
        <is>
          <t>Farming</t>
        </is>
      </c>
      <c r="D147" t="inlineStr">
        <is>
          <t>OldBlood</t>
        </is>
      </c>
      <c r="E147" t="n">
        <v>1</v>
      </c>
      <c r="F147" t="inlineStr">
        <is>
          <t>OFF</t>
        </is>
      </c>
    </row>
    <row r="148">
      <c r="A148" t="inlineStr">
        <is>
          <t>2026-09-21</t>
        </is>
      </c>
      <c r="B148" t="inlineStr">
        <is>
          <t>Mon</t>
        </is>
      </c>
      <c r="C148" t="inlineStr">
        <is>
          <t>Farming</t>
        </is>
      </c>
      <c r="D148" t="inlineStr">
        <is>
          <t>Pele</t>
        </is>
      </c>
      <c r="E148" t="n">
        <v>1</v>
      </c>
      <c r="F148" t="inlineStr">
        <is>
          <t>08:00-16:00</t>
        </is>
      </c>
    </row>
    <row r="149">
      <c r="A149" t="inlineStr">
        <is>
          <t>2026-09-21</t>
        </is>
      </c>
      <c r="B149" t="inlineStr">
        <is>
          <t>Mon</t>
        </is>
      </c>
      <c r="C149" t="inlineStr">
        <is>
          <t>Farming</t>
        </is>
      </c>
      <c r="D149" t="inlineStr">
        <is>
          <t>Pele</t>
        </is>
      </c>
      <c r="E149" t="n">
        <v>2</v>
      </c>
      <c r="F149" t="inlineStr">
        <is>
          <t>16:00-24:00</t>
        </is>
      </c>
      <c r="H149" t="inlineStr">
        <is>
          <t>ANT &amp; ELMORE</t>
        </is>
      </c>
    </row>
    <row r="150">
      <c r="A150" t="inlineStr">
        <is>
          <t>2026-09-21</t>
        </is>
      </c>
      <c r="B150" t="inlineStr">
        <is>
          <t>Mon</t>
        </is>
      </c>
      <c r="C150" t="inlineStr">
        <is>
          <t>Farming</t>
        </is>
      </c>
      <c r="D150" t="inlineStr">
        <is>
          <t>Pele</t>
        </is>
      </c>
      <c r="E150" t="n">
        <v>3</v>
      </c>
      <c r="F150" t="inlineStr">
        <is>
          <t>24:00-08:00</t>
        </is>
      </c>
      <c r="G150" t="inlineStr">
        <is>
          <t>Rodel</t>
        </is>
      </c>
      <c r="H150" t="inlineStr">
        <is>
          <t>ELMORE</t>
        </is>
      </c>
      <c r="I150" t="n">
        <v>0.0328</v>
      </c>
      <c r="J150" t="n">
        <v>74882</v>
      </c>
    </row>
    <row r="151">
      <c r="A151" t="inlineStr">
        <is>
          <t>2026-09-21</t>
        </is>
      </c>
      <c r="B151" t="inlineStr">
        <is>
          <t>Mon</t>
        </is>
      </c>
      <c r="C151" t="inlineStr">
        <is>
          <t>Farming</t>
        </is>
      </c>
      <c r="D151" t="inlineStr">
        <is>
          <t>Ronaldo</t>
        </is>
      </c>
      <c r="E151" t="n">
        <v>1</v>
      </c>
      <c r="F151" t="inlineStr">
        <is>
          <t>08:00-16:00</t>
        </is>
      </c>
    </row>
    <row r="152">
      <c r="A152" t="inlineStr">
        <is>
          <t>2026-09-21</t>
        </is>
      </c>
      <c r="B152" t="inlineStr">
        <is>
          <t>Mon</t>
        </is>
      </c>
      <c r="C152" t="inlineStr">
        <is>
          <t>Farming</t>
        </is>
      </c>
      <c r="D152" t="inlineStr">
        <is>
          <t>Ronaldo</t>
        </is>
      </c>
      <c r="E152" t="n">
        <v>2</v>
      </c>
      <c r="F152" t="inlineStr">
        <is>
          <t>16:00-24:00</t>
        </is>
      </c>
      <c r="G152" t="inlineStr">
        <is>
          <t>Jefferson</t>
        </is>
      </c>
      <c r="H152" t="inlineStr">
        <is>
          <t>Ivory Tower 4~5</t>
        </is>
      </c>
      <c r="I152" t="n">
        <v>0.0535</v>
      </c>
      <c r="J152" t="n">
        <v>129296</v>
      </c>
      <c r="K152" t="n">
        <v>0</v>
      </c>
      <c r="L152" t="n">
        <v>0</v>
      </c>
      <c r="M152" t="n">
        <v>0</v>
      </c>
    </row>
    <row r="153">
      <c r="A153" t="inlineStr">
        <is>
          <t>2026-09-21</t>
        </is>
      </c>
      <c r="B153" t="inlineStr">
        <is>
          <t>Mon</t>
        </is>
      </c>
      <c r="C153" t="inlineStr">
        <is>
          <t>Farming</t>
        </is>
      </c>
      <c r="D153" t="inlineStr">
        <is>
          <t>Ronaldo</t>
        </is>
      </c>
      <c r="E153" t="n">
        <v>3</v>
      </c>
      <c r="F153" t="inlineStr">
        <is>
          <t>24:00-08:00</t>
        </is>
      </c>
      <c r="G153" t="inlineStr">
        <is>
          <t>Richard Salupari</t>
        </is>
      </c>
      <c r="H153" t="inlineStr">
        <is>
          <t>Ivory flr4&amp;5</t>
        </is>
      </c>
      <c r="I153" t="n">
        <v>0.06850000000000001</v>
      </c>
    </row>
    <row r="154">
      <c r="A154" t="inlineStr">
        <is>
          <t>2026-09-21</t>
        </is>
      </c>
      <c r="B154" t="inlineStr">
        <is>
          <t>Mon</t>
        </is>
      </c>
      <c r="C154" t="inlineStr">
        <is>
          <t>Farming</t>
        </is>
      </c>
      <c r="D154" t="inlineStr">
        <is>
          <t>Sarim</t>
        </is>
      </c>
      <c r="E154" t="n">
        <v>1</v>
      </c>
      <c r="F154" t="inlineStr">
        <is>
          <t>08:00-16:00</t>
        </is>
      </c>
    </row>
    <row r="155">
      <c r="A155" t="inlineStr">
        <is>
          <t>2026-09-21</t>
        </is>
      </c>
      <c r="B155" t="inlineStr">
        <is>
          <t>Mon</t>
        </is>
      </c>
      <c r="C155" t="inlineStr">
        <is>
          <t>Farming</t>
        </is>
      </c>
      <c r="D155" t="inlineStr">
        <is>
          <t>Sarim</t>
        </is>
      </c>
      <c r="E155" t="n">
        <v>2</v>
      </c>
      <c r="F155" t="inlineStr">
        <is>
          <t>16:00-24:00</t>
        </is>
      </c>
      <c r="G155" t="inlineStr">
        <is>
          <t>Adrian Torres</t>
        </is>
      </c>
      <c r="H155" t="inlineStr">
        <is>
          <t>ELMORE &amp; DD</t>
        </is>
      </c>
    </row>
    <row r="156">
      <c r="A156" t="inlineStr">
        <is>
          <t>2026-09-21</t>
        </is>
      </c>
      <c r="B156" t="inlineStr">
        <is>
          <t>Mon</t>
        </is>
      </c>
      <c r="C156" t="inlineStr">
        <is>
          <t>Farming</t>
        </is>
      </c>
      <c r="D156" t="inlineStr">
        <is>
          <t>Sarim</t>
        </is>
      </c>
      <c r="E156" t="n">
        <v>3</v>
      </c>
      <c r="F156" t="inlineStr">
        <is>
          <t>24:00-08:00</t>
        </is>
      </c>
      <c r="H156" t="inlineStr">
        <is>
          <t>Elmore</t>
        </is>
      </c>
    </row>
    <row r="157">
      <c r="A157" t="inlineStr">
        <is>
          <t>2026-09-21</t>
        </is>
      </c>
      <c r="B157" t="inlineStr">
        <is>
          <t>Mon</t>
        </is>
      </c>
      <c r="C157" t="inlineStr">
        <is>
          <t>Farming</t>
        </is>
      </c>
      <c r="D157" t="inlineStr">
        <is>
          <t>Sinsang</t>
        </is>
      </c>
      <c r="E157" t="n">
        <v>1</v>
      </c>
      <c r="F157" t="inlineStr">
        <is>
          <t>OFF</t>
        </is>
      </c>
    </row>
    <row r="158">
      <c r="A158" t="inlineStr">
        <is>
          <t>2026-09-21</t>
        </is>
      </c>
      <c r="B158" t="inlineStr">
        <is>
          <t>Mon</t>
        </is>
      </c>
      <c r="C158" t="inlineStr">
        <is>
          <t>Farming</t>
        </is>
      </c>
      <c r="D158" t="inlineStr">
        <is>
          <t>Sudden</t>
        </is>
      </c>
      <c r="E158" t="n">
        <v>1</v>
      </c>
      <c r="F158" t="inlineStr">
        <is>
          <t>08:00-16:00</t>
        </is>
      </c>
    </row>
    <row r="159">
      <c r="A159" t="inlineStr">
        <is>
          <t>2026-09-21</t>
        </is>
      </c>
      <c r="B159" t="inlineStr">
        <is>
          <t>Mon</t>
        </is>
      </c>
      <c r="C159" t="inlineStr">
        <is>
          <t>Farming</t>
        </is>
      </c>
      <c r="D159" t="inlineStr">
        <is>
          <t>Sudden</t>
        </is>
      </c>
      <c r="E159" t="n">
        <v>2</v>
      </c>
      <c r="F159" t="inlineStr">
        <is>
          <t>16:00-24:00</t>
        </is>
      </c>
      <c r="H159" t="inlineStr">
        <is>
          <t>ELMORE &amp; DD</t>
        </is>
      </c>
    </row>
    <row r="160">
      <c r="A160" t="inlineStr">
        <is>
          <t>2026-09-21</t>
        </is>
      </c>
      <c r="B160" t="inlineStr">
        <is>
          <t>Mon</t>
        </is>
      </c>
      <c r="C160" t="inlineStr">
        <is>
          <t>Farming</t>
        </is>
      </c>
      <c r="D160" t="inlineStr">
        <is>
          <t>Sudden</t>
        </is>
      </c>
      <c r="E160" t="n">
        <v>3</v>
      </c>
      <c r="F160" t="inlineStr">
        <is>
          <t>24:00-08:00</t>
        </is>
      </c>
      <c r="G160" t="inlineStr">
        <is>
          <t>Smartley</t>
        </is>
      </c>
      <c r="H160" t="inlineStr">
        <is>
          <t>Elmore</t>
        </is>
      </c>
      <c r="I160" t="n">
        <v>0.1012</v>
      </c>
    </row>
    <row r="161">
      <c r="A161" t="inlineStr">
        <is>
          <t>2026-09-21</t>
        </is>
      </c>
      <c r="B161" t="inlineStr">
        <is>
          <t>Mon</t>
        </is>
      </c>
      <c r="C161" t="inlineStr">
        <is>
          <t>Farming</t>
        </is>
      </c>
      <c r="D161" t="inlineStr">
        <is>
          <t>Sunsang</t>
        </is>
      </c>
      <c r="E161" t="n">
        <v>1</v>
      </c>
      <c r="F161" t="inlineStr">
        <is>
          <t>OFF</t>
        </is>
      </c>
    </row>
    <row r="162">
      <c r="A162" t="inlineStr">
        <is>
          <t>2026-09-21</t>
        </is>
      </c>
      <c r="B162" t="inlineStr">
        <is>
          <t>Mon</t>
        </is>
      </c>
      <c r="C162" t="inlineStr">
        <is>
          <t>Farming</t>
        </is>
      </c>
      <c r="D162" t="inlineStr">
        <is>
          <t>Sunsang</t>
        </is>
      </c>
      <c r="E162" t="n">
        <v>2</v>
      </c>
      <c r="F162" t="inlineStr">
        <is>
          <t>OFF</t>
        </is>
      </c>
    </row>
    <row r="163">
      <c r="A163" t="inlineStr">
        <is>
          <t>2026-09-21</t>
        </is>
      </c>
      <c r="B163" t="inlineStr">
        <is>
          <t>Mon</t>
        </is>
      </c>
      <c r="C163" t="inlineStr">
        <is>
          <t>Farming</t>
        </is>
      </c>
      <c r="D163" t="inlineStr">
        <is>
          <t>Taejo</t>
        </is>
      </c>
      <c r="E163" t="n">
        <v>1</v>
      </c>
      <c r="F163" t="inlineStr">
        <is>
          <t>08:00-16:00</t>
        </is>
      </c>
    </row>
    <row r="164">
      <c r="A164" t="inlineStr">
        <is>
          <t>2026-09-21</t>
        </is>
      </c>
      <c r="B164" t="inlineStr">
        <is>
          <t>Mon</t>
        </is>
      </c>
      <c r="C164" t="inlineStr">
        <is>
          <t>Farming</t>
        </is>
      </c>
      <c r="D164" t="inlineStr">
        <is>
          <t>Taejo</t>
        </is>
      </c>
      <c r="E164" t="n">
        <v>2</v>
      </c>
      <c r="F164" t="inlineStr">
        <is>
          <t>16:00-24:00</t>
        </is>
      </c>
      <c r="H164" t="inlineStr">
        <is>
          <t>ELMORE &amp; DD</t>
        </is>
      </c>
    </row>
    <row r="165">
      <c r="A165" t="inlineStr">
        <is>
          <t>2026-09-21</t>
        </is>
      </c>
      <c r="B165" t="inlineStr">
        <is>
          <t>Mon</t>
        </is>
      </c>
      <c r="C165" t="inlineStr">
        <is>
          <t>Farming</t>
        </is>
      </c>
      <c r="D165" t="inlineStr">
        <is>
          <t>Taejo</t>
        </is>
      </c>
      <c r="E165" t="n">
        <v>3</v>
      </c>
      <c r="F165" t="inlineStr">
        <is>
          <t>24:00-08:00</t>
        </is>
      </c>
      <c r="G165" t="inlineStr">
        <is>
          <t>Lemark</t>
        </is>
      </c>
      <c r="H165" t="inlineStr">
        <is>
          <t>Elmore</t>
        </is>
      </c>
      <c r="I165" t="n">
        <v>0.0175</v>
      </c>
      <c r="J165" t="n">
        <v>68909</v>
      </c>
    </row>
    <row r="166">
      <c r="A166" t="inlineStr">
        <is>
          <t>2026-09-22</t>
        </is>
      </c>
      <c r="B166" t="inlineStr">
        <is>
          <t>Tue</t>
        </is>
      </c>
      <c r="C166" t="inlineStr">
        <is>
          <t>Client</t>
        </is>
      </c>
      <c r="D166" t="inlineStr">
        <is>
          <t>ADA</t>
        </is>
      </c>
      <c r="E166" t="n">
        <v>1</v>
      </c>
      <c r="F166" t="inlineStr">
        <is>
          <t>09:00-17:00</t>
        </is>
      </c>
      <c r="G166" t="inlineStr">
        <is>
          <t>Cejay</t>
        </is>
      </c>
    </row>
    <row r="167">
      <c r="A167" t="inlineStr">
        <is>
          <t>2026-09-22</t>
        </is>
      </c>
      <c r="B167" t="inlineStr">
        <is>
          <t>Tue</t>
        </is>
      </c>
      <c r="C167" t="inlineStr">
        <is>
          <t>Client</t>
        </is>
      </c>
      <c r="D167" t="inlineStr">
        <is>
          <t>ADA</t>
        </is>
      </c>
      <c r="E167" t="n">
        <v>2</v>
      </c>
      <c r="F167" t="inlineStr">
        <is>
          <t>OFF</t>
        </is>
      </c>
    </row>
    <row r="168">
      <c r="A168" t="inlineStr">
        <is>
          <t>2026-09-22</t>
        </is>
      </c>
      <c r="B168" t="inlineStr">
        <is>
          <t>Tue</t>
        </is>
      </c>
      <c r="C168" t="inlineStr">
        <is>
          <t>Client</t>
        </is>
      </c>
      <c r="D168" t="inlineStr">
        <is>
          <t>Alex</t>
        </is>
      </c>
      <c r="E168" t="n">
        <v>1</v>
      </c>
      <c r="F168" t="inlineStr">
        <is>
          <t>08:00-15:00</t>
        </is>
      </c>
      <c r="H168" t="inlineStr">
        <is>
          <t>Ivory Tower 4~5</t>
        </is>
      </c>
    </row>
    <row r="169">
      <c r="A169" t="inlineStr">
        <is>
          <t>2026-09-22</t>
        </is>
      </c>
      <c r="B169" t="inlineStr">
        <is>
          <t>Tue</t>
        </is>
      </c>
      <c r="C169" t="inlineStr">
        <is>
          <t>Client</t>
        </is>
      </c>
      <c r="D169" t="inlineStr">
        <is>
          <t>Alex</t>
        </is>
      </c>
      <c r="E169" t="n">
        <v>2</v>
      </c>
      <c r="F169" t="inlineStr">
        <is>
          <t>15:00-22:00</t>
        </is>
      </c>
      <c r="H169" t="inlineStr">
        <is>
          <t>Ivory Tower 6~7</t>
        </is>
      </c>
    </row>
    <row r="170">
      <c r="A170" t="inlineStr">
        <is>
          <t>2026-09-22</t>
        </is>
      </c>
      <c r="B170" t="inlineStr">
        <is>
          <t>Tue</t>
        </is>
      </c>
      <c r="C170" t="inlineStr">
        <is>
          <t>Client</t>
        </is>
      </c>
      <c r="D170" t="inlineStr">
        <is>
          <t>Alex</t>
        </is>
      </c>
      <c r="E170" t="n">
        <v>3</v>
      </c>
      <c r="F170" t="inlineStr">
        <is>
          <t>24:00-04:00</t>
        </is>
      </c>
      <c r="H170" t="inlineStr">
        <is>
          <t>Ivory Tower 4~5</t>
        </is>
      </c>
    </row>
    <row r="171">
      <c r="A171" t="inlineStr">
        <is>
          <t>2026-09-22</t>
        </is>
      </c>
      <c r="B171" t="inlineStr">
        <is>
          <t>Tue</t>
        </is>
      </c>
      <c r="C171" t="inlineStr">
        <is>
          <t>Client</t>
        </is>
      </c>
      <c r="D171" t="inlineStr">
        <is>
          <t>Beongaebul</t>
        </is>
      </c>
      <c r="E171" t="n">
        <v>1</v>
      </c>
      <c r="F171" t="inlineStr">
        <is>
          <t>OFF</t>
        </is>
      </c>
    </row>
    <row r="172">
      <c r="A172" t="inlineStr">
        <is>
          <t>2026-09-22</t>
        </is>
      </c>
      <c r="B172" t="inlineStr">
        <is>
          <t>Tue</t>
        </is>
      </c>
      <c r="C172" t="inlineStr">
        <is>
          <t>Client</t>
        </is>
      </c>
      <c r="D172" t="inlineStr">
        <is>
          <t>Captain</t>
        </is>
      </c>
      <c r="E172" t="n">
        <v>1</v>
      </c>
      <c r="F172" t="inlineStr">
        <is>
          <t>OFF</t>
        </is>
      </c>
    </row>
    <row r="173">
      <c r="A173" t="inlineStr">
        <is>
          <t>2026-09-22</t>
        </is>
      </c>
      <c r="B173" t="inlineStr">
        <is>
          <t>Tue</t>
        </is>
      </c>
      <c r="C173" t="inlineStr">
        <is>
          <t>Client</t>
        </is>
      </c>
      <c r="D173" t="inlineStr">
        <is>
          <t>Captain</t>
        </is>
      </c>
      <c r="E173" t="n">
        <v>2</v>
      </c>
      <c r="F173" t="inlineStr">
        <is>
          <t>OFF</t>
        </is>
      </c>
    </row>
    <row r="174">
      <c r="A174" t="inlineStr">
        <is>
          <t>2026-09-22</t>
        </is>
      </c>
      <c r="B174" t="inlineStr">
        <is>
          <t>Tue</t>
        </is>
      </c>
      <c r="C174" t="inlineStr">
        <is>
          <t>Client</t>
        </is>
      </c>
      <c r="D174" t="inlineStr">
        <is>
          <t>Dalo</t>
        </is>
      </c>
      <c r="E174" t="n">
        <v>1</v>
      </c>
      <c r="F174" t="inlineStr">
        <is>
          <t>OFF</t>
        </is>
      </c>
    </row>
    <row r="175">
      <c r="A175" t="inlineStr">
        <is>
          <t>2026-09-22</t>
        </is>
      </c>
      <c r="B175" t="inlineStr">
        <is>
          <t>Tue</t>
        </is>
      </c>
      <c r="C175" t="inlineStr">
        <is>
          <t>Client</t>
        </is>
      </c>
      <c r="D175" t="inlineStr">
        <is>
          <t>Dalo</t>
        </is>
      </c>
      <c r="E175" t="n">
        <v>2</v>
      </c>
      <c r="F175" t="inlineStr">
        <is>
          <t>OFF</t>
        </is>
      </c>
    </row>
    <row r="176">
      <c r="A176" t="inlineStr">
        <is>
          <t>2026-09-22</t>
        </is>
      </c>
      <c r="B176" t="inlineStr">
        <is>
          <t>Tue</t>
        </is>
      </c>
      <c r="C176" t="inlineStr">
        <is>
          <t>Client</t>
        </is>
      </c>
      <c r="D176" t="inlineStr">
        <is>
          <t>Dalo</t>
        </is>
      </c>
      <c r="E176" t="n">
        <v>3</v>
      </c>
      <c r="F176" t="inlineStr">
        <is>
          <t>OFF</t>
        </is>
      </c>
    </row>
    <row r="177">
      <c r="A177" t="inlineStr">
        <is>
          <t>2026-09-22</t>
        </is>
      </c>
      <c r="B177" t="inlineStr">
        <is>
          <t>Tue</t>
        </is>
      </c>
      <c r="C177" t="inlineStr">
        <is>
          <t>Client</t>
        </is>
      </c>
      <c r="D177" t="inlineStr">
        <is>
          <t>Dodam</t>
        </is>
      </c>
      <c r="E177" t="n">
        <v>1</v>
      </c>
      <c r="F177" t="inlineStr">
        <is>
          <t>23:00-04:00</t>
        </is>
      </c>
      <c r="G177" t="inlineStr">
        <is>
          <t>Lemark</t>
        </is>
      </c>
      <c r="H177" t="inlineStr">
        <is>
          <t>Island of Dreams</t>
        </is>
      </c>
      <c r="I177" t="n">
        <v>0.0294</v>
      </c>
    </row>
    <row r="178">
      <c r="A178" t="inlineStr">
        <is>
          <t>2026-09-22</t>
        </is>
      </c>
      <c r="B178" t="inlineStr">
        <is>
          <t>Tue</t>
        </is>
      </c>
      <c r="C178" t="inlineStr">
        <is>
          <t>Client</t>
        </is>
      </c>
      <c r="D178" t="inlineStr">
        <is>
          <t>Dodam</t>
        </is>
      </c>
      <c r="E178" t="n">
        <v>2</v>
      </c>
      <c r="F178" t="inlineStr">
        <is>
          <t>07:00-19:00</t>
        </is>
      </c>
    </row>
    <row r="179">
      <c r="A179" t="inlineStr">
        <is>
          <t>2026-09-22</t>
        </is>
      </c>
      <c r="B179" t="inlineStr">
        <is>
          <t>Tue</t>
        </is>
      </c>
      <c r="C179" t="inlineStr">
        <is>
          <t>Client</t>
        </is>
      </c>
      <c r="D179" t="inlineStr">
        <is>
          <t>Dol</t>
        </is>
      </c>
      <c r="E179" t="n">
        <v>1</v>
      </c>
      <c r="F179" t="inlineStr">
        <is>
          <t>OFF</t>
        </is>
      </c>
    </row>
    <row r="180">
      <c r="A180" t="inlineStr">
        <is>
          <t>2026-09-22</t>
        </is>
      </c>
      <c r="B180" t="inlineStr">
        <is>
          <t>Tue</t>
        </is>
      </c>
      <c r="C180" t="inlineStr">
        <is>
          <t>Client</t>
        </is>
      </c>
      <c r="D180" t="inlineStr">
        <is>
          <t>Dol</t>
        </is>
      </c>
      <c r="E180" t="n">
        <v>2</v>
      </c>
      <c r="F180" t="inlineStr">
        <is>
          <t>14:00-22:00</t>
        </is>
      </c>
      <c r="G180" t="inlineStr">
        <is>
          <t>Jay Penilla</t>
        </is>
      </c>
      <c r="H180" t="inlineStr">
        <is>
          <t>AL</t>
        </is>
      </c>
      <c r="I180" t="n">
        <v>0.1189</v>
      </c>
    </row>
    <row r="181">
      <c r="A181" t="inlineStr">
        <is>
          <t>2026-09-22</t>
        </is>
      </c>
      <c r="B181" t="inlineStr">
        <is>
          <t>Tue</t>
        </is>
      </c>
      <c r="C181" t="inlineStr">
        <is>
          <t>Client</t>
        </is>
      </c>
      <c r="D181" t="inlineStr">
        <is>
          <t>Doma</t>
        </is>
      </c>
      <c r="E181" t="n">
        <v>1</v>
      </c>
      <c r="F181" t="inlineStr">
        <is>
          <t>OFF</t>
        </is>
      </c>
    </row>
    <row r="182">
      <c r="A182" t="inlineStr">
        <is>
          <t>2026-09-22</t>
        </is>
      </c>
      <c r="B182" t="inlineStr">
        <is>
          <t>Tue</t>
        </is>
      </c>
      <c r="C182" t="inlineStr">
        <is>
          <t>Client</t>
        </is>
      </c>
      <c r="D182" t="inlineStr">
        <is>
          <t>Doma</t>
        </is>
      </c>
      <c r="E182" t="n">
        <v>2</v>
      </c>
      <c r="F182" t="inlineStr">
        <is>
          <t>21:00-04:00</t>
        </is>
      </c>
      <c r="G182" t="inlineStr">
        <is>
          <t>Mark Anthony</t>
        </is>
      </c>
      <c r="H182" t="inlineStr">
        <is>
          <t>Ivory Tower</t>
        </is>
      </c>
      <c r="I182" t="n">
        <v>0.0135</v>
      </c>
    </row>
    <row r="183">
      <c r="A183" t="inlineStr">
        <is>
          <t>2026-09-22</t>
        </is>
      </c>
      <c r="B183" t="inlineStr">
        <is>
          <t>Tue</t>
        </is>
      </c>
      <c r="C183" t="inlineStr">
        <is>
          <t>Client</t>
        </is>
      </c>
      <c r="D183" t="inlineStr">
        <is>
          <t>Duga</t>
        </is>
      </c>
      <c r="E183" t="n">
        <v>1</v>
      </c>
      <c r="F183" t="inlineStr">
        <is>
          <t>07:00-15:00</t>
        </is>
      </c>
    </row>
    <row r="184">
      <c r="A184" t="inlineStr">
        <is>
          <t>2026-09-22</t>
        </is>
      </c>
      <c r="B184" t="inlineStr">
        <is>
          <t>Tue</t>
        </is>
      </c>
      <c r="C184" t="inlineStr">
        <is>
          <t>Client</t>
        </is>
      </c>
      <c r="D184" t="inlineStr">
        <is>
          <t>Elf</t>
        </is>
      </c>
      <c r="E184" t="n">
        <v>1</v>
      </c>
      <c r="F184" t="inlineStr">
        <is>
          <t>OFF</t>
        </is>
      </c>
    </row>
    <row r="185">
      <c r="A185" t="inlineStr">
        <is>
          <t>2026-09-22</t>
        </is>
      </c>
      <c r="B185" t="inlineStr">
        <is>
          <t>Tue</t>
        </is>
      </c>
      <c r="C185" t="inlineStr">
        <is>
          <t>Client</t>
        </is>
      </c>
      <c r="D185" t="inlineStr">
        <is>
          <t>Geonbae</t>
        </is>
      </c>
      <c r="E185" t="n">
        <v>1</v>
      </c>
      <c r="F185" t="inlineStr">
        <is>
          <t>OFF</t>
        </is>
      </c>
    </row>
    <row r="186">
      <c r="A186" t="inlineStr">
        <is>
          <t>2026-09-22</t>
        </is>
      </c>
      <c r="B186" t="inlineStr">
        <is>
          <t>Tue</t>
        </is>
      </c>
      <c r="C186" t="inlineStr">
        <is>
          <t>Client</t>
        </is>
      </c>
      <c r="D186" t="inlineStr">
        <is>
          <t>Geonbae</t>
        </is>
      </c>
      <c r="E186" t="n">
        <v>2</v>
      </c>
      <c r="F186" t="inlineStr">
        <is>
          <t>23:00-04:00</t>
        </is>
      </c>
      <c r="G186" t="inlineStr">
        <is>
          <t>Chester</t>
        </is>
      </c>
      <c r="H186" t="inlineStr">
        <is>
          <t>Ivory Tower</t>
        </is>
      </c>
      <c r="I186" t="n">
        <v>0.0491</v>
      </c>
    </row>
    <row r="187">
      <c r="A187" t="inlineStr">
        <is>
          <t>2026-09-22</t>
        </is>
      </c>
      <c r="B187" t="inlineStr">
        <is>
          <t>Tue</t>
        </is>
      </c>
      <c r="C187" t="inlineStr">
        <is>
          <t>Client</t>
        </is>
      </c>
      <c r="D187" t="inlineStr">
        <is>
          <t>Goop</t>
        </is>
      </c>
      <c r="E187" t="n">
        <v>1</v>
      </c>
      <c r="F187" t="inlineStr">
        <is>
          <t>OFF</t>
        </is>
      </c>
    </row>
    <row r="188">
      <c r="A188" t="inlineStr">
        <is>
          <t>2026-09-22</t>
        </is>
      </c>
      <c r="B188" t="inlineStr">
        <is>
          <t>Tue</t>
        </is>
      </c>
      <c r="C188" t="inlineStr">
        <is>
          <t>Client</t>
        </is>
      </c>
      <c r="D188" t="inlineStr">
        <is>
          <t>Heon</t>
        </is>
      </c>
      <c r="E188" t="n">
        <v>1</v>
      </c>
      <c r="F188" t="inlineStr">
        <is>
          <t>OFF</t>
        </is>
      </c>
      <c r="K188" t="inlineStr">
        <is>
          <t>E-Potion O</t>
        </is>
      </c>
      <c r="L188" t="inlineStr">
        <is>
          <t>555 buff</t>
        </is>
      </c>
      <c r="M188" t="inlineStr">
        <is>
          <t>Shield, Armour O</t>
        </is>
      </c>
    </row>
    <row r="189">
      <c r="A189" t="inlineStr">
        <is>
          <t>2026-09-22</t>
        </is>
      </c>
      <c r="B189" t="inlineStr">
        <is>
          <t>Tue</t>
        </is>
      </c>
      <c r="C189" t="inlineStr">
        <is>
          <t>Client</t>
        </is>
      </c>
      <c r="D189" t="inlineStr">
        <is>
          <t>Jjuni</t>
        </is>
      </c>
      <c r="E189" t="n">
        <v>1</v>
      </c>
      <c r="F189" t="inlineStr">
        <is>
          <t>13:00-21:00</t>
        </is>
      </c>
    </row>
    <row r="190">
      <c r="A190" t="inlineStr">
        <is>
          <t>2026-09-22</t>
        </is>
      </c>
      <c r="B190" t="inlineStr">
        <is>
          <t>Tue</t>
        </is>
      </c>
      <c r="C190" t="inlineStr">
        <is>
          <t>Client</t>
        </is>
      </c>
      <c r="D190" t="inlineStr">
        <is>
          <t>Jjuni</t>
        </is>
      </c>
      <c r="E190" t="n">
        <v>2</v>
      </c>
      <c r="F190" t="inlineStr">
        <is>
          <t>OFF</t>
        </is>
      </c>
    </row>
    <row r="191">
      <c r="A191" t="inlineStr">
        <is>
          <t>2026-09-22</t>
        </is>
      </c>
      <c r="B191" t="inlineStr">
        <is>
          <t>Tue</t>
        </is>
      </c>
      <c r="C191" t="inlineStr">
        <is>
          <t>Client</t>
        </is>
      </c>
      <c r="D191" t="inlineStr">
        <is>
          <t>Jjuni</t>
        </is>
      </c>
      <c r="E191" t="n">
        <v>3</v>
      </c>
      <c r="F191" t="inlineStr">
        <is>
          <t>OFF</t>
        </is>
      </c>
      <c r="H191" t="inlineStr">
        <is>
          <t>Ivory Tower</t>
        </is>
      </c>
    </row>
    <row r="192">
      <c r="A192" t="inlineStr">
        <is>
          <t>2026-09-22</t>
        </is>
      </c>
      <c r="B192" t="inlineStr">
        <is>
          <t>Tue</t>
        </is>
      </c>
      <c r="C192" t="inlineStr">
        <is>
          <t>Client</t>
        </is>
      </c>
      <c r="D192" t="inlineStr">
        <is>
          <t>Jo</t>
        </is>
      </c>
      <c r="E192" t="n">
        <v>1</v>
      </c>
      <c r="F192" t="inlineStr">
        <is>
          <t>OFF</t>
        </is>
      </c>
    </row>
    <row r="193">
      <c r="A193" t="inlineStr">
        <is>
          <t>2026-09-22</t>
        </is>
      </c>
      <c r="B193" t="inlineStr">
        <is>
          <t>Tue</t>
        </is>
      </c>
      <c r="C193" t="inlineStr">
        <is>
          <t>Client</t>
        </is>
      </c>
      <c r="D193" t="inlineStr">
        <is>
          <t>Lammy Queen</t>
        </is>
      </c>
      <c r="E193" t="n">
        <v>1</v>
      </c>
      <c r="F193" t="inlineStr">
        <is>
          <t>OFF</t>
        </is>
      </c>
      <c r="H193" t="inlineStr">
        <is>
          <t>Island of Dreams</t>
        </is>
      </c>
    </row>
    <row r="194">
      <c r="A194" t="inlineStr">
        <is>
          <t>2026-09-22</t>
        </is>
      </c>
      <c r="B194" t="inlineStr">
        <is>
          <t>Tue</t>
        </is>
      </c>
      <c r="C194" t="inlineStr">
        <is>
          <t>Client</t>
        </is>
      </c>
      <c r="D194" t="inlineStr">
        <is>
          <t>Lammy Queen</t>
        </is>
      </c>
      <c r="E194" t="n">
        <v>2</v>
      </c>
      <c r="F194" t="inlineStr">
        <is>
          <t>22:00-04:00</t>
        </is>
      </c>
      <c r="G194" t="inlineStr">
        <is>
          <t>Rhuzsel</t>
        </is>
      </c>
      <c r="H194" t="inlineStr">
        <is>
          <t>Abandon Land</t>
        </is>
      </c>
      <c r="I194" t="n">
        <v>0.0453</v>
      </c>
    </row>
    <row r="195">
      <c r="A195" t="inlineStr">
        <is>
          <t>2026-09-22</t>
        </is>
      </c>
      <c r="B195" t="inlineStr">
        <is>
          <t>Tue</t>
        </is>
      </c>
      <c r="C195" t="inlineStr">
        <is>
          <t>Client</t>
        </is>
      </c>
      <c r="D195" t="inlineStr">
        <is>
          <t>Lolly</t>
        </is>
      </c>
      <c r="E195" t="n">
        <v>1</v>
      </c>
      <c r="F195" t="inlineStr">
        <is>
          <t>09:00-17:00</t>
        </is>
      </c>
      <c r="G195" t="inlineStr">
        <is>
          <t>Mitchell</t>
        </is>
      </c>
      <c r="H195" t="inlineStr">
        <is>
          <t>abandoned land 3
a land of corruption5</t>
        </is>
      </c>
      <c r="K195" t="inlineStr">
        <is>
          <t>E-Potion O</t>
        </is>
      </c>
      <c r="L195" t="inlineStr">
        <is>
          <t>555 buff</t>
        </is>
      </c>
      <c r="M195" t="inlineStr">
        <is>
          <t>Shield, Armour O</t>
        </is>
      </c>
    </row>
    <row r="196">
      <c r="A196" t="inlineStr">
        <is>
          <t>2026-09-22</t>
        </is>
      </c>
      <c r="B196" t="inlineStr">
        <is>
          <t>Tue</t>
        </is>
      </c>
      <c r="C196" t="inlineStr">
        <is>
          <t>Client</t>
        </is>
      </c>
      <c r="D196" t="inlineStr">
        <is>
          <t>Mukkbo</t>
        </is>
      </c>
      <c r="E196" t="n">
        <v>1</v>
      </c>
      <c r="F196" t="inlineStr">
        <is>
          <t>OFF</t>
        </is>
      </c>
    </row>
    <row r="197">
      <c r="A197" t="inlineStr">
        <is>
          <t>2026-09-22</t>
        </is>
      </c>
      <c r="B197" t="inlineStr">
        <is>
          <t>Tue</t>
        </is>
      </c>
      <c r="C197" t="inlineStr">
        <is>
          <t>Client</t>
        </is>
      </c>
      <c r="D197" t="inlineStr">
        <is>
          <t>Mukkbo</t>
        </is>
      </c>
      <c r="E197" t="n">
        <v>2</v>
      </c>
      <c r="F197" t="inlineStr">
        <is>
          <t>OFF</t>
        </is>
      </c>
    </row>
    <row r="198">
      <c r="A198" t="inlineStr">
        <is>
          <t>2026-09-22</t>
        </is>
      </c>
      <c r="B198" t="inlineStr">
        <is>
          <t>Tue</t>
        </is>
      </c>
      <c r="C198" t="inlineStr">
        <is>
          <t>Client</t>
        </is>
      </c>
      <c r="D198" t="inlineStr">
        <is>
          <t>Munjin</t>
        </is>
      </c>
      <c r="E198" t="n">
        <v>1</v>
      </c>
      <c r="F198" t="inlineStr">
        <is>
          <t>OFF</t>
        </is>
      </c>
    </row>
    <row r="199">
      <c r="A199" t="inlineStr">
        <is>
          <t>2026-09-22</t>
        </is>
      </c>
      <c r="B199" t="inlineStr">
        <is>
          <t>Tue</t>
        </is>
      </c>
      <c r="C199" t="inlineStr">
        <is>
          <t>Client</t>
        </is>
      </c>
      <c r="D199" t="inlineStr">
        <is>
          <t>Neburegi</t>
        </is>
      </c>
      <c r="E199" t="n">
        <v>1</v>
      </c>
      <c r="F199" t="inlineStr">
        <is>
          <t>OFF</t>
        </is>
      </c>
    </row>
    <row r="200">
      <c r="A200" t="inlineStr">
        <is>
          <t>2026-09-22</t>
        </is>
      </c>
      <c r="B200" t="inlineStr">
        <is>
          <t>Tue</t>
        </is>
      </c>
      <c r="C200" t="inlineStr">
        <is>
          <t>Client</t>
        </is>
      </c>
      <c r="D200" t="inlineStr">
        <is>
          <t>Olleh</t>
        </is>
      </c>
      <c r="E200" t="n">
        <v>1</v>
      </c>
      <c r="F200" t="inlineStr">
        <is>
          <t>01:00-11:00</t>
        </is>
      </c>
      <c r="G200" t="inlineStr">
        <is>
          <t>Monteza</t>
        </is>
      </c>
      <c r="H200" t="inlineStr">
        <is>
          <t>Ivory Tower</t>
        </is>
      </c>
      <c r="I200" t="n">
        <v>0.0124</v>
      </c>
    </row>
    <row r="201">
      <c r="A201" t="inlineStr">
        <is>
          <t>2026-09-22</t>
        </is>
      </c>
      <c r="B201" t="inlineStr">
        <is>
          <t>Tue</t>
        </is>
      </c>
      <c r="C201" t="inlineStr">
        <is>
          <t>Client</t>
        </is>
      </c>
      <c r="D201" t="inlineStr">
        <is>
          <t>Olleh</t>
        </is>
      </c>
      <c r="E201" t="n">
        <v>2</v>
      </c>
      <c r="F201" t="inlineStr">
        <is>
          <t>23:00-04:00</t>
        </is>
      </c>
      <c r="G201" t="inlineStr">
        <is>
          <t>Monteza</t>
        </is>
      </c>
      <c r="H201" t="inlineStr">
        <is>
          <t>Ivory Tower</t>
        </is>
      </c>
      <c r="I201" t="n">
        <v>0.0072</v>
      </c>
    </row>
    <row r="202">
      <c r="A202" t="inlineStr">
        <is>
          <t>2026-09-22</t>
        </is>
      </c>
      <c r="B202" t="inlineStr">
        <is>
          <t>Tue</t>
        </is>
      </c>
      <c r="C202" t="inlineStr">
        <is>
          <t>Client</t>
        </is>
      </c>
      <c r="D202" t="inlineStr">
        <is>
          <t>Perez</t>
        </is>
      </c>
      <c r="E202" t="n">
        <v>1</v>
      </c>
      <c r="F202" t="inlineStr">
        <is>
          <t>08:00-15:00</t>
        </is>
      </c>
      <c r="G202" t="inlineStr">
        <is>
          <t>Samantha</t>
        </is>
      </c>
    </row>
    <row r="203">
      <c r="A203" t="inlineStr">
        <is>
          <t>2026-09-22</t>
        </is>
      </c>
      <c r="B203" t="inlineStr">
        <is>
          <t>Tue</t>
        </is>
      </c>
      <c r="C203" t="inlineStr">
        <is>
          <t>Client</t>
        </is>
      </c>
      <c r="D203" t="inlineStr">
        <is>
          <t>Perez</t>
        </is>
      </c>
      <c r="E203" t="n">
        <v>2</v>
      </c>
      <c r="F203" t="inlineStr">
        <is>
          <t>OFF</t>
        </is>
      </c>
      <c r="H203" t="inlineStr">
        <is>
          <t>LAND OF FALLEN / SPATOY</t>
        </is>
      </c>
    </row>
    <row r="204">
      <c r="A204" t="inlineStr">
        <is>
          <t>2026-09-22</t>
        </is>
      </c>
      <c r="B204" t="inlineStr">
        <is>
          <t>Tue</t>
        </is>
      </c>
      <c r="C204" t="inlineStr">
        <is>
          <t>Client</t>
        </is>
      </c>
      <c r="D204" t="inlineStr">
        <is>
          <t>Perez</t>
        </is>
      </c>
      <c r="E204" t="n">
        <v>3</v>
      </c>
      <c r="F204" t="inlineStr">
        <is>
          <t>20:00-04:00</t>
        </is>
      </c>
      <c r="G204" t="inlineStr">
        <is>
          <t>Zenron</t>
        </is>
      </c>
      <c r="H204" t="inlineStr">
        <is>
          <t>Abandon Land</t>
        </is>
      </c>
      <c r="I204" t="n">
        <v>0.0122</v>
      </c>
    </row>
    <row r="205">
      <c r="A205" t="inlineStr">
        <is>
          <t>2026-09-22</t>
        </is>
      </c>
      <c r="B205" t="inlineStr">
        <is>
          <t>Tue</t>
        </is>
      </c>
      <c r="C205" t="inlineStr">
        <is>
          <t>Client</t>
        </is>
      </c>
      <c r="D205" t="inlineStr">
        <is>
          <t>Power20</t>
        </is>
      </c>
      <c r="E205" t="n">
        <v>1</v>
      </c>
      <c r="F205" t="inlineStr">
        <is>
          <t>10:00-20:00</t>
        </is>
      </c>
      <c r="G205" t="inlineStr">
        <is>
          <t>Isiah</t>
        </is>
      </c>
    </row>
    <row r="206">
      <c r="A206" t="inlineStr">
        <is>
          <t>2026-09-22</t>
        </is>
      </c>
      <c r="B206" t="inlineStr">
        <is>
          <t>Tue</t>
        </is>
      </c>
      <c r="C206" t="inlineStr">
        <is>
          <t>Client</t>
        </is>
      </c>
      <c r="D206" t="inlineStr">
        <is>
          <t>Power20</t>
        </is>
      </c>
      <c r="E206" t="n">
        <v>2</v>
      </c>
      <c r="F206" t="inlineStr">
        <is>
          <t>OFF</t>
        </is>
      </c>
    </row>
    <row r="207">
      <c r="A207" t="inlineStr">
        <is>
          <t>2026-09-22</t>
        </is>
      </c>
      <c r="B207" t="inlineStr">
        <is>
          <t>Tue</t>
        </is>
      </c>
      <c r="C207" t="inlineStr">
        <is>
          <t>Client</t>
        </is>
      </c>
      <c r="D207" t="inlineStr">
        <is>
          <t>Power20</t>
        </is>
      </c>
      <c r="E207" t="n">
        <v>3</v>
      </c>
      <c r="F207" t="inlineStr">
        <is>
          <t>24:00-04:00</t>
        </is>
      </c>
      <c r="H207" t="inlineStr">
        <is>
          <t>Ivory Tower</t>
        </is>
      </c>
    </row>
    <row r="208">
      <c r="A208" t="inlineStr">
        <is>
          <t>2026-09-22</t>
        </is>
      </c>
      <c r="B208" t="inlineStr">
        <is>
          <t>Tue</t>
        </is>
      </c>
      <c r="C208" t="inlineStr">
        <is>
          <t>Client</t>
        </is>
      </c>
      <c r="D208" t="inlineStr">
        <is>
          <t>Real Madrid</t>
        </is>
      </c>
      <c r="E208" t="n">
        <v>1</v>
      </c>
      <c r="F208" t="inlineStr">
        <is>
          <t>20:00-04:00</t>
        </is>
      </c>
      <c r="G208" t="inlineStr">
        <is>
          <t>Richard Salupari</t>
        </is>
      </c>
      <c r="H208" t="inlineStr">
        <is>
          <t>Ivory Tower</t>
        </is>
      </c>
      <c r="I208" t="n">
        <v>0.0122</v>
      </c>
    </row>
    <row r="209">
      <c r="A209" t="inlineStr">
        <is>
          <t>2026-09-22</t>
        </is>
      </c>
      <c r="B209" t="inlineStr">
        <is>
          <t>Tue</t>
        </is>
      </c>
      <c r="C209" t="inlineStr">
        <is>
          <t>Client</t>
        </is>
      </c>
      <c r="D209" t="inlineStr">
        <is>
          <t>Real Madrid</t>
        </is>
      </c>
      <c r="E209" t="n">
        <v>2</v>
      </c>
      <c r="F209" t="inlineStr">
        <is>
          <t>OFF</t>
        </is>
      </c>
      <c r="H209" t="inlineStr">
        <is>
          <t>Ivory Tower</t>
        </is>
      </c>
    </row>
    <row r="210">
      <c r="A210" t="inlineStr">
        <is>
          <t>2026-09-22</t>
        </is>
      </c>
      <c r="B210" t="inlineStr">
        <is>
          <t>Tue</t>
        </is>
      </c>
      <c r="C210" t="inlineStr">
        <is>
          <t>Client</t>
        </is>
      </c>
      <c r="D210" t="inlineStr">
        <is>
          <t>Real Madrid</t>
        </is>
      </c>
      <c r="E210" t="n">
        <v>3</v>
      </c>
      <c r="F210" t="inlineStr">
        <is>
          <t>OFF</t>
        </is>
      </c>
    </row>
    <row r="211">
      <c r="A211" t="inlineStr">
        <is>
          <t>2026-09-22</t>
        </is>
      </c>
      <c r="B211" t="inlineStr">
        <is>
          <t>Tue</t>
        </is>
      </c>
      <c r="C211" t="inlineStr">
        <is>
          <t>Client</t>
        </is>
      </c>
      <c r="D211" t="inlineStr">
        <is>
          <t>Return</t>
        </is>
      </c>
      <c r="E211" t="n">
        <v>1</v>
      </c>
      <c r="F211" t="inlineStr">
        <is>
          <t>OFF</t>
        </is>
      </c>
      <c r="H211" t="inlineStr">
        <is>
          <t>Ivory Tower</t>
        </is>
      </c>
    </row>
    <row r="212">
      <c r="A212" t="inlineStr">
        <is>
          <t>2026-09-22</t>
        </is>
      </c>
      <c r="B212" t="inlineStr">
        <is>
          <t>Tue</t>
        </is>
      </c>
      <c r="C212" t="inlineStr">
        <is>
          <t>Client</t>
        </is>
      </c>
      <c r="D212" t="inlineStr">
        <is>
          <t>Road</t>
        </is>
      </c>
      <c r="E212" t="n">
        <v>1</v>
      </c>
      <c r="F212" t="inlineStr">
        <is>
          <t>OFF</t>
        </is>
      </c>
    </row>
    <row r="213">
      <c r="A213" t="inlineStr">
        <is>
          <t>2026-09-22</t>
        </is>
      </c>
      <c r="B213" t="inlineStr">
        <is>
          <t>Tue</t>
        </is>
      </c>
      <c r="C213" t="inlineStr">
        <is>
          <t>Client</t>
        </is>
      </c>
      <c r="D213" t="inlineStr">
        <is>
          <t>SSEN</t>
        </is>
      </c>
      <c r="E213" t="n">
        <v>1</v>
      </c>
      <c r="F213" t="inlineStr">
        <is>
          <t>07:00-19:00</t>
        </is>
      </c>
      <c r="G213" t="inlineStr">
        <is>
          <t>Christelle</t>
        </is>
      </c>
    </row>
    <row r="214">
      <c r="A214" t="inlineStr">
        <is>
          <t>2026-09-22</t>
        </is>
      </c>
      <c r="B214" t="inlineStr">
        <is>
          <t>Tue</t>
        </is>
      </c>
      <c r="C214" t="inlineStr">
        <is>
          <t>Client</t>
        </is>
      </c>
      <c r="D214" t="inlineStr">
        <is>
          <t>Tiger</t>
        </is>
      </c>
      <c r="E214" t="n">
        <v>1</v>
      </c>
      <c r="F214" t="inlineStr">
        <is>
          <t>OFF</t>
        </is>
      </c>
    </row>
    <row r="215">
      <c r="A215" t="inlineStr">
        <is>
          <t>2026-09-22</t>
        </is>
      </c>
      <c r="B215" t="inlineStr">
        <is>
          <t>Tue</t>
        </is>
      </c>
      <c r="C215" t="inlineStr">
        <is>
          <t>Client</t>
        </is>
      </c>
      <c r="D215" t="inlineStr">
        <is>
          <t>Tiger</t>
        </is>
      </c>
      <c r="E215" t="n">
        <v>2</v>
      </c>
      <c r="F215" t="inlineStr">
        <is>
          <t>OFF</t>
        </is>
      </c>
      <c r="H215" t="inlineStr">
        <is>
          <t>Island of Dreams</t>
        </is>
      </c>
    </row>
    <row r="216">
      <c r="A216" t="inlineStr">
        <is>
          <t>2026-09-22</t>
        </is>
      </c>
      <c r="B216" t="inlineStr">
        <is>
          <t>Tue</t>
        </is>
      </c>
      <c r="C216" t="inlineStr">
        <is>
          <t>Client</t>
        </is>
      </c>
      <c r="D216" t="inlineStr">
        <is>
          <t>Yeoseo</t>
        </is>
      </c>
      <c r="E216" t="n">
        <v>1</v>
      </c>
      <c r="F216" t="inlineStr">
        <is>
          <t>OFF</t>
        </is>
      </c>
      <c r="H216" t="inlineStr">
        <is>
          <t>abandoned land 3
a land of corruption5</t>
        </is>
      </c>
      <c r="K216" t="inlineStr">
        <is>
          <t>E-Potion O</t>
        </is>
      </c>
      <c r="L216" t="inlineStr">
        <is>
          <t>555 buff</t>
        </is>
      </c>
      <c r="M216" t="inlineStr">
        <is>
          <t>Shield, Armour O</t>
        </is>
      </c>
    </row>
    <row r="217">
      <c r="A217" t="inlineStr">
        <is>
          <t>2026-09-22</t>
        </is>
      </c>
      <c r="B217" t="inlineStr">
        <is>
          <t>Tue</t>
        </is>
      </c>
      <c r="C217" t="inlineStr">
        <is>
          <t>Client</t>
        </is>
      </c>
      <c r="D217" t="inlineStr">
        <is>
          <t>Zombie</t>
        </is>
      </c>
      <c r="E217" t="n">
        <v>1</v>
      </c>
      <c r="F217" t="inlineStr">
        <is>
          <t>OFF</t>
        </is>
      </c>
    </row>
    <row r="218">
      <c r="A218" t="inlineStr">
        <is>
          <t>2026-09-22</t>
        </is>
      </c>
      <c r="B218" t="inlineStr">
        <is>
          <t>Tue</t>
        </is>
      </c>
      <c r="C218" t="inlineStr">
        <is>
          <t>Client</t>
        </is>
      </c>
      <c r="D218" t="inlineStr">
        <is>
          <t>Zombie</t>
        </is>
      </c>
      <c r="E218" t="n">
        <v>2</v>
      </c>
      <c r="F218" t="inlineStr">
        <is>
          <t>OFF</t>
        </is>
      </c>
    </row>
    <row r="219">
      <c r="A219" t="inlineStr">
        <is>
          <t>2026-09-22</t>
        </is>
      </c>
      <c r="B219" t="inlineStr">
        <is>
          <t>Tue</t>
        </is>
      </c>
      <c r="C219" t="inlineStr">
        <is>
          <t>Client</t>
        </is>
      </c>
      <c r="D219" t="inlineStr">
        <is>
          <t>Zombie</t>
        </is>
      </c>
      <c r="E219" t="n">
        <v>3</v>
      </c>
      <c r="F219" t="inlineStr">
        <is>
          <t>OFF</t>
        </is>
      </c>
      <c r="H219" t="inlineStr">
        <is>
          <t>Ivory Tower</t>
        </is>
      </c>
    </row>
    <row r="220">
      <c r="A220" t="inlineStr">
        <is>
          <t>2026-09-22</t>
        </is>
      </c>
      <c r="B220" t="inlineStr">
        <is>
          <t>Tue</t>
        </is>
      </c>
      <c r="C220" t="inlineStr">
        <is>
          <t>Farming</t>
        </is>
      </c>
      <c r="D220" t="inlineStr">
        <is>
          <t>Kangaroo</t>
        </is>
      </c>
      <c r="E220" t="n">
        <v>1</v>
      </c>
      <c r="F220" t="inlineStr">
        <is>
          <t>06:00-15:00</t>
        </is>
      </c>
      <c r="G220" t="inlineStr">
        <is>
          <t>Jan Nino</t>
        </is>
      </c>
      <c r="H220" t="inlineStr">
        <is>
          <t>Corrupted Land</t>
        </is>
      </c>
      <c r="I220" t="inlineStr">
        <is>
          <t>↓</t>
        </is>
      </c>
      <c r="J220" t="inlineStr">
        <is>
          <t>↓</t>
        </is>
      </c>
      <c r="K220" t="inlineStr">
        <is>
          <t>↓</t>
        </is>
      </c>
      <c r="L220" t="inlineStr">
        <is>
          <t>↓</t>
        </is>
      </c>
      <c r="M220" t="inlineStr">
        <is>
          <t>↓</t>
        </is>
      </c>
    </row>
    <row r="221">
      <c r="A221" t="inlineStr">
        <is>
          <t>2026-09-22</t>
        </is>
      </c>
      <c r="B221" t="inlineStr">
        <is>
          <t>Tue</t>
        </is>
      </c>
      <c r="C221" t="inlineStr">
        <is>
          <t>Farming</t>
        </is>
      </c>
      <c r="D221" t="inlineStr">
        <is>
          <t>Kangaroo</t>
        </is>
      </c>
      <c r="E221" t="n">
        <v>2</v>
      </c>
      <c r="F221" t="inlineStr">
        <is>
          <t>15:00-22:00</t>
        </is>
      </c>
      <c r="G221" t="inlineStr">
        <is>
          <t>Jan Nino</t>
        </is>
      </c>
      <c r="H221" t="inlineStr">
        <is>
          <t>Corrupted Land</t>
        </is>
      </c>
      <c r="I221" t="n">
        <v>0.0872</v>
      </c>
      <c r="J221" t="n">
        <v>33854</v>
      </c>
      <c r="K221" t="n">
        <v>0</v>
      </c>
      <c r="L221" t="n">
        <v>0</v>
      </c>
      <c r="M221" t="n">
        <v>0</v>
      </c>
    </row>
    <row r="222">
      <c r="A222" t="inlineStr">
        <is>
          <t>2026-09-22</t>
        </is>
      </c>
      <c r="B222" t="inlineStr">
        <is>
          <t>Tue</t>
        </is>
      </c>
      <c r="C222" t="inlineStr">
        <is>
          <t>Farming</t>
        </is>
      </c>
      <c r="D222" t="inlineStr">
        <is>
          <t>Kangaroo</t>
        </is>
      </c>
      <c r="E222" t="n">
        <v>3</v>
      </c>
      <c r="F222" t="inlineStr">
        <is>
          <t>22:00-04:00</t>
        </is>
      </c>
      <c r="G222" t="inlineStr">
        <is>
          <t>Raul</t>
        </is>
      </c>
      <c r="H222" t="inlineStr">
        <is>
          <t>Corrupted Land</t>
        </is>
      </c>
      <c r="I222" t="n">
        <v>0.05</v>
      </c>
      <c r="J222" t="n">
        <v>-1720</v>
      </c>
    </row>
    <row r="223">
      <c r="A223" t="inlineStr">
        <is>
          <t>2026-09-22</t>
        </is>
      </c>
      <c r="B223" t="inlineStr">
        <is>
          <t>Tue</t>
        </is>
      </c>
      <c r="C223" t="inlineStr">
        <is>
          <t>Farming</t>
        </is>
      </c>
      <c r="D223" t="inlineStr">
        <is>
          <t>Kyoryu</t>
        </is>
      </c>
      <c r="E223" t="n">
        <v>1</v>
      </c>
      <c r="F223" t="inlineStr">
        <is>
          <t>08:00-15:00</t>
        </is>
      </c>
    </row>
    <row r="224">
      <c r="A224" t="inlineStr">
        <is>
          <t>2026-09-22</t>
        </is>
      </c>
      <c r="B224" t="inlineStr">
        <is>
          <t>Tue</t>
        </is>
      </c>
      <c r="C224" t="inlineStr">
        <is>
          <t>Farming</t>
        </is>
      </c>
      <c r="D224" t="inlineStr">
        <is>
          <t>Kyoryu</t>
        </is>
      </c>
      <c r="E224" t="n">
        <v>2</v>
      </c>
      <c r="F224" t="inlineStr">
        <is>
          <t>15:00-20:00</t>
        </is>
      </c>
      <c r="G224" t="inlineStr">
        <is>
          <t>Charles Bernades</t>
        </is>
      </c>
      <c r="H224" t="inlineStr">
        <is>
          <t>ELMORE &amp; DD</t>
        </is>
      </c>
      <c r="I224" t="n">
        <v>-0.0887</v>
      </c>
      <c r="J224" t="n">
        <v>23918</v>
      </c>
    </row>
    <row r="225">
      <c r="A225" t="inlineStr">
        <is>
          <t>2026-09-22</t>
        </is>
      </c>
      <c r="B225" t="inlineStr">
        <is>
          <t>Tue</t>
        </is>
      </c>
      <c r="C225" t="inlineStr">
        <is>
          <t>Farming</t>
        </is>
      </c>
      <c r="D225" t="inlineStr">
        <is>
          <t>Kyoryu</t>
        </is>
      </c>
      <c r="E225" t="n">
        <v>3</v>
      </c>
      <c r="F225" t="inlineStr">
        <is>
          <t>22:00-04:00</t>
        </is>
      </c>
      <c r="G225" t="inlineStr">
        <is>
          <t>Raymond</t>
        </is>
      </c>
      <c r="H225" t="inlineStr">
        <is>
          <t>Elmore</t>
        </is>
      </c>
      <c r="I225" t="n">
        <v>0.0101</v>
      </c>
      <c r="J225" t="n">
        <v>42447</v>
      </c>
    </row>
    <row r="226">
      <c r="A226" t="inlineStr">
        <is>
          <t>2026-09-22</t>
        </is>
      </c>
      <c r="B226" t="inlineStr">
        <is>
          <t>Tue</t>
        </is>
      </c>
      <c r="C226" t="inlineStr">
        <is>
          <t>Farming</t>
        </is>
      </c>
      <c r="D226" t="inlineStr">
        <is>
          <t>Marcelo</t>
        </is>
      </c>
      <c r="E226" t="n">
        <v>1</v>
      </c>
      <c r="F226" t="inlineStr">
        <is>
          <t>08:00-15:00</t>
        </is>
      </c>
    </row>
    <row r="227">
      <c r="A227" t="inlineStr">
        <is>
          <t>2026-09-22</t>
        </is>
      </c>
      <c r="B227" t="inlineStr">
        <is>
          <t>Tue</t>
        </is>
      </c>
      <c r="C227" t="inlineStr">
        <is>
          <t>Farming</t>
        </is>
      </c>
      <c r="D227" t="inlineStr">
        <is>
          <t>Marcelo</t>
        </is>
      </c>
      <c r="E227" t="n">
        <v>2</v>
      </c>
      <c r="F227" t="inlineStr">
        <is>
          <t>15:00-22:00</t>
        </is>
      </c>
      <c r="H227" t="inlineStr">
        <is>
          <t>ELMORE &amp; DD</t>
        </is>
      </c>
    </row>
    <row r="228">
      <c r="A228" t="inlineStr">
        <is>
          <t>2026-09-22</t>
        </is>
      </c>
      <c r="B228" t="inlineStr">
        <is>
          <t>Tue</t>
        </is>
      </c>
      <c r="C228" t="inlineStr">
        <is>
          <t>Farming</t>
        </is>
      </c>
      <c r="D228" t="inlineStr">
        <is>
          <t>Marcelo</t>
        </is>
      </c>
      <c r="E228" t="n">
        <v>3</v>
      </c>
      <c r="F228" t="inlineStr">
        <is>
          <t>22:00-04:00</t>
        </is>
      </c>
      <c r="G228" t="inlineStr">
        <is>
          <t>Lourence</t>
        </is>
      </c>
      <c r="H228" t="inlineStr">
        <is>
          <t>Elmore</t>
        </is>
      </c>
      <c r="I228" t="n">
        <v>0.0123</v>
      </c>
      <c r="J228" t="n">
        <v>46109</v>
      </c>
    </row>
    <row r="229">
      <c r="A229" t="inlineStr">
        <is>
          <t>2026-09-22</t>
        </is>
      </c>
      <c r="B229" t="inlineStr">
        <is>
          <t>Tue</t>
        </is>
      </c>
      <c r="C229" t="inlineStr">
        <is>
          <t>Farming</t>
        </is>
      </c>
      <c r="D229" t="inlineStr">
        <is>
          <t>OldBlood</t>
        </is>
      </c>
      <c r="E229" t="n">
        <v>1</v>
      </c>
      <c r="F229" t="inlineStr">
        <is>
          <t>OFF</t>
        </is>
      </c>
    </row>
    <row r="230">
      <c r="A230" t="inlineStr">
        <is>
          <t>2026-09-22</t>
        </is>
      </c>
      <c r="B230" t="inlineStr">
        <is>
          <t>Tue</t>
        </is>
      </c>
      <c r="C230" t="inlineStr">
        <is>
          <t>Farming</t>
        </is>
      </c>
      <c r="D230" t="inlineStr">
        <is>
          <t>Pele</t>
        </is>
      </c>
      <c r="E230" t="n">
        <v>1</v>
      </c>
      <c r="F230" t="inlineStr">
        <is>
          <t>08:00-15:00</t>
        </is>
      </c>
    </row>
    <row r="231">
      <c r="A231" t="inlineStr">
        <is>
          <t>2026-09-22</t>
        </is>
      </c>
      <c r="B231" t="inlineStr">
        <is>
          <t>Tue</t>
        </is>
      </c>
      <c r="C231" t="inlineStr">
        <is>
          <t>Farming</t>
        </is>
      </c>
      <c r="D231" t="inlineStr">
        <is>
          <t>Pele</t>
        </is>
      </c>
      <c r="E231" t="n">
        <v>2</v>
      </c>
      <c r="F231" t="inlineStr">
        <is>
          <t>15:00-22:00</t>
        </is>
      </c>
      <c r="H231" t="inlineStr">
        <is>
          <t>ANT &amp; ELMORE</t>
        </is>
      </c>
    </row>
    <row r="232">
      <c r="A232" t="inlineStr">
        <is>
          <t>2026-09-22</t>
        </is>
      </c>
      <c r="B232" t="inlineStr">
        <is>
          <t>Tue</t>
        </is>
      </c>
      <c r="C232" t="inlineStr">
        <is>
          <t>Farming</t>
        </is>
      </c>
      <c r="D232" t="inlineStr">
        <is>
          <t>Pele</t>
        </is>
      </c>
      <c r="E232" t="n">
        <v>3</v>
      </c>
      <c r="F232" t="inlineStr">
        <is>
          <t>22:00-04:00</t>
        </is>
      </c>
      <c r="G232" t="inlineStr">
        <is>
          <t>Rodel</t>
        </is>
      </c>
      <c r="H232" t="inlineStr">
        <is>
          <t>ELMORE</t>
        </is>
      </c>
      <c r="I232" t="n">
        <v>0.024</v>
      </c>
      <c r="J232" t="n">
        <v>34949</v>
      </c>
    </row>
    <row r="233">
      <c r="A233" t="inlineStr">
        <is>
          <t>2026-09-22</t>
        </is>
      </c>
      <c r="B233" t="inlineStr">
        <is>
          <t>Tue</t>
        </is>
      </c>
      <c r="C233" t="inlineStr">
        <is>
          <t>Farming</t>
        </is>
      </c>
      <c r="D233" t="inlineStr">
        <is>
          <t>Ronaldo</t>
        </is>
      </c>
      <c r="E233" t="n">
        <v>1</v>
      </c>
      <c r="F233" t="inlineStr">
        <is>
          <t>08:00-15:00</t>
        </is>
      </c>
    </row>
    <row r="234">
      <c r="A234" t="inlineStr">
        <is>
          <t>2026-09-22</t>
        </is>
      </c>
      <c r="B234" t="inlineStr">
        <is>
          <t>Tue</t>
        </is>
      </c>
      <c r="C234" t="inlineStr">
        <is>
          <t>Farming</t>
        </is>
      </c>
      <c r="D234" t="inlineStr">
        <is>
          <t>Ronaldo</t>
        </is>
      </c>
      <c r="E234" t="n">
        <v>2</v>
      </c>
      <c r="F234" t="inlineStr">
        <is>
          <t>15:00-22:00</t>
        </is>
      </c>
      <c r="G234" t="inlineStr">
        <is>
          <t>Jefferson</t>
        </is>
      </c>
      <c r="H234" t="inlineStr">
        <is>
          <t>Ivory Tower 4~5</t>
        </is>
      </c>
      <c r="I234" t="n">
        <v>0.0513</v>
      </c>
      <c r="J234" t="n">
        <v>-83415</v>
      </c>
      <c r="K234" t="n">
        <v>0</v>
      </c>
      <c r="L234" t="n">
        <v>0</v>
      </c>
      <c r="M234" t="n">
        <v>0</v>
      </c>
    </row>
    <row r="235">
      <c r="A235" t="inlineStr">
        <is>
          <t>2026-09-22</t>
        </is>
      </c>
      <c r="B235" t="inlineStr">
        <is>
          <t>Tue</t>
        </is>
      </c>
      <c r="C235" t="inlineStr">
        <is>
          <t>Farming</t>
        </is>
      </c>
      <c r="D235" t="inlineStr">
        <is>
          <t>Ronaldo</t>
        </is>
      </c>
      <c r="E235" t="n">
        <v>3</v>
      </c>
      <c r="F235" t="inlineStr">
        <is>
          <t>22:00-04:00</t>
        </is>
      </c>
      <c r="G235" t="inlineStr">
        <is>
          <t>Smartley</t>
        </is>
      </c>
      <c r="H235" t="inlineStr">
        <is>
          <t>Ivory flr4&amp;5</t>
        </is>
      </c>
      <c r="I235" t="n">
        <v>0.06660000000000001</v>
      </c>
      <c r="J235" t="n">
        <v>147063</v>
      </c>
    </row>
    <row r="236">
      <c r="A236" t="inlineStr">
        <is>
          <t>2026-09-22</t>
        </is>
      </c>
      <c r="B236" t="inlineStr">
        <is>
          <t>Tue</t>
        </is>
      </c>
      <c r="C236" t="inlineStr">
        <is>
          <t>Farming</t>
        </is>
      </c>
      <c r="D236" t="inlineStr">
        <is>
          <t>Sarim</t>
        </is>
      </c>
      <c r="E236" t="n">
        <v>1</v>
      </c>
      <c r="F236" t="inlineStr">
        <is>
          <t>08:00-15:00</t>
        </is>
      </c>
    </row>
    <row r="237">
      <c r="A237" t="inlineStr">
        <is>
          <t>2026-09-22</t>
        </is>
      </c>
      <c r="B237" t="inlineStr">
        <is>
          <t>Tue</t>
        </is>
      </c>
      <c r="C237" t="inlineStr">
        <is>
          <t>Farming</t>
        </is>
      </c>
      <c r="D237" t="inlineStr">
        <is>
          <t>Sarim</t>
        </is>
      </c>
      <c r="E237" t="n">
        <v>2</v>
      </c>
      <c r="F237" t="inlineStr">
        <is>
          <t>15:00-22:00</t>
        </is>
      </c>
      <c r="G237" t="inlineStr">
        <is>
          <t>Angelo Diocales</t>
        </is>
      </c>
      <c r="H237" t="inlineStr">
        <is>
          <t>ELMORE &amp; DD</t>
        </is>
      </c>
    </row>
    <row r="238">
      <c r="A238" t="inlineStr">
        <is>
          <t>2026-09-22</t>
        </is>
      </c>
      <c r="B238" t="inlineStr">
        <is>
          <t>Tue</t>
        </is>
      </c>
      <c r="C238" t="inlineStr">
        <is>
          <t>Farming</t>
        </is>
      </c>
      <c r="D238" t="inlineStr">
        <is>
          <t>Sarim</t>
        </is>
      </c>
      <c r="E238" t="n">
        <v>3</v>
      </c>
      <c r="F238" t="inlineStr">
        <is>
          <t>22:00-04:00</t>
        </is>
      </c>
      <c r="G238" t="inlineStr">
        <is>
          <t>John Carlo</t>
        </is>
      </c>
      <c r="H238" t="inlineStr">
        <is>
          <t>Elmore</t>
        </is>
      </c>
      <c r="I238" t="n">
        <v>0.0097</v>
      </c>
      <c r="J238" t="n">
        <v>36745</v>
      </c>
    </row>
    <row r="239">
      <c r="A239" t="inlineStr">
        <is>
          <t>2026-09-22</t>
        </is>
      </c>
      <c r="B239" t="inlineStr">
        <is>
          <t>Tue</t>
        </is>
      </c>
      <c r="C239" t="inlineStr">
        <is>
          <t>Farming</t>
        </is>
      </c>
      <c r="D239" t="inlineStr">
        <is>
          <t>Sinsang</t>
        </is>
      </c>
      <c r="E239" t="n">
        <v>1</v>
      </c>
      <c r="F239" t="inlineStr">
        <is>
          <t>22:00-04:00</t>
        </is>
      </c>
      <c r="G239" t="inlineStr">
        <is>
          <t>TL-John</t>
        </is>
      </c>
      <c r="H239" t="inlineStr">
        <is>
          <t>Corrrupted Land</t>
        </is>
      </c>
      <c r="J239" t="n">
        <v>1.2622</v>
      </c>
    </row>
    <row r="240">
      <c r="A240" t="inlineStr">
        <is>
          <t>2026-09-22</t>
        </is>
      </c>
      <c r="B240" t="inlineStr">
        <is>
          <t>Tue</t>
        </is>
      </c>
      <c r="C240" t="inlineStr">
        <is>
          <t>Farming</t>
        </is>
      </c>
      <c r="D240" t="inlineStr">
        <is>
          <t>Sudden</t>
        </is>
      </c>
      <c r="E240" t="n">
        <v>1</v>
      </c>
      <c r="F240" t="inlineStr">
        <is>
          <t>08:00-15:00</t>
        </is>
      </c>
    </row>
    <row r="241">
      <c r="A241" t="inlineStr">
        <is>
          <t>2026-09-22</t>
        </is>
      </c>
      <c r="B241" t="inlineStr">
        <is>
          <t>Tue</t>
        </is>
      </c>
      <c r="C241" t="inlineStr">
        <is>
          <t>Farming</t>
        </is>
      </c>
      <c r="D241" t="inlineStr">
        <is>
          <t>Sudden</t>
        </is>
      </c>
      <c r="E241" t="n">
        <v>2</v>
      </c>
      <c r="F241" t="inlineStr">
        <is>
          <t>15:00-22:00</t>
        </is>
      </c>
      <c r="G241" t="inlineStr">
        <is>
          <t>Jan Nino</t>
        </is>
      </c>
      <c r="H241" t="inlineStr">
        <is>
          <t>ELMORE &amp; DD</t>
        </is>
      </c>
      <c r="I241" t="n">
        <v>0.07630000000000001</v>
      </c>
      <c r="J241" t="n">
        <v>-4971404</v>
      </c>
      <c r="K241" t="n">
        <v>0</v>
      </c>
      <c r="L241" t="n">
        <v>0</v>
      </c>
      <c r="M241" t="n">
        <v>0</v>
      </c>
    </row>
    <row r="242">
      <c r="A242" t="inlineStr">
        <is>
          <t>2026-09-22</t>
        </is>
      </c>
      <c r="B242" t="inlineStr">
        <is>
          <t>Tue</t>
        </is>
      </c>
      <c r="C242" t="inlineStr">
        <is>
          <t>Farming</t>
        </is>
      </c>
      <c r="D242" t="inlineStr">
        <is>
          <t>Sudden</t>
        </is>
      </c>
      <c r="E242" t="n">
        <v>3</v>
      </c>
      <c r="F242" t="inlineStr">
        <is>
          <t>22:00-04:00</t>
        </is>
      </c>
      <c r="G242" t="inlineStr">
        <is>
          <t>Ehder Lhen</t>
        </is>
      </c>
      <c r="H242" t="inlineStr">
        <is>
          <t>Elmore</t>
        </is>
      </c>
      <c r="I242" t="n">
        <v>0.09180000000000001</v>
      </c>
      <c r="J242" t="n">
        <v>8940</v>
      </c>
    </row>
    <row r="243">
      <c r="A243" t="inlineStr">
        <is>
          <t>2026-09-22</t>
        </is>
      </c>
      <c r="B243" t="inlineStr">
        <is>
          <t>Tue</t>
        </is>
      </c>
      <c r="C243" t="inlineStr">
        <is>
          <t>Farming</t>
        </is>
      </c>
      <c r="D243" t="inlineStr">
        <is>
          <t>Sunsang</t>
        </is>
      </c>
      <c r="E243" t="n">
        <v>1</v>
      </c>
      <c r="F243" t="inlineStr">
        <is>
          <t>OFF</t>
        </is>
      </c>
    </row>
    <row r="244">
      <c r="A244" t="inlineStr">
        <is>
          <t>2026-09-22</t>
        </is>
      </c>
      <c r="B244" t="inlineStr">
        <is>
          <t>Tue</t>
        </is>
      </c>
      <c r="C244" t="inlineStr">
        <is>
          <t>Farming</t>
        </is>
      </c>
      <c r="D244" t="inlineStr">
        <is>
          <t>Sunsang</t>
        </is>
      </c>
      <c r="E244" t="n">
        <v>2</v>
      </c>
      <c r="F244" t="inlineStr">
        <is>
          <t>14:00-16:30</t>
        </is>
      </c>
      <c r="G244" t="inlineStr">
        <is>
          <t>Angelo Diocales</t>
        </is>
      </c>
    </row>
    <row r="245">
      <c r="A245" t="inlineStr">
        <is>
          <t>2026-09-22</t>
        </is>
      </c>
      <c r="B245" t="inlineStr">
        <is>
          <t>Tue</t>
        </is>
      </c>
      <c r="C245" t="inlineStr">
        <is>
          <t>Farming</t>
        </is>
      </c>
      <c r="D245" t="inlineStr">
        <is>
          <t>Taejo</t>
        </is>
      </c>
      <c r="E245" t="n">
        <v>1</v>
      </c>
      <c r="F245" t="inlineStr">
        <is>
          <t>08:00-15:00</t>
        </is>
      </c>
    </row>
    <row r="246">
      <c r="A246" t="inlineStr">
        <is>
          <t>2026-09-22</t>
        </is>
      </c>
      <c r="B246" t="inlineStr">
        <is>
          <t>Tue</t>
        </is>
      </c>
      <c r="C246" t="inlineStr">
        <is>
          <t>Farming</t>
        </is>
      </c>
      <c r="D246" t="inlineStr">
        <is>
          <t>Taejo</t>
        </is>
      </c>
      <c r="E246" t="n">
        <v>2</v>
      </c>
      <c r="F246" t="inlineStr">
        <is>
          <t>15:00-22:00</t>
        </is>
      </c>
      <c r="H246" t="inlineStr">
        <is>
          <t>ELMORE &amp; DD</t>
        </is>
      </c>
    </row>
    <row r="247">
      <c r="A247" t="inlineStr">
        <is>
          <t>2026-09-22</t>
        </is>
      </c>
      <c r="B247" t="inlineStr">
        <is>
          <t>Tue</t>
        </is>
      </c>
      <c r="C247" t="inlineStr">
        <is>
          <t>Farming</t>
        </is>
      </c>
      <c r="D247" t="inlineStr">
        <is>
          <t>Taejo</t>
        </is>
      </c>
      <c r="E247" t="n">
        <v>3</v>
      </c>
      <c r="F247" t="inlineStr">
        <is>
          <t>22:00-04:00</t>
        </is>
      </c>
      <c r="H247" t="inlineStr">
        <is>
          <t>Elmore</t>
        </is>
      </c>
    </row>
    <row r="248">
      <c r="A248" t="inlineStr">
        <is>
          <t>2026-09-23</t>
        </is>
      </c>
      <c r="B248" t="inlineStr">
        <is>
          <t>Wed</t>
        </is>
      </c>
      <c r="C248" t="inlineStr">
        <is>
          <t>Client</t>
        </is>
      </c>
      <c r="D248" t="inlineStr">
        <is>
          <t>ADA</t>
        </is>
      </c>
      <c r="E248" t="n">
        <v>1</v>
      </c>
      <c r="F248" t="inlineStr">
        <is>
          <t>09:00-17:00</t>
        </is>
      </c>
      <c r="G248" t="inlineStr">
        <is>
          <t>Cejay</t>
        </is>
      </c>
    </row>
    <row r="249">
      <c r="A249" t="inlineStr">
        <is>
          <t>2026-09-23</t>
        </is>
      </c>
      <c r="B249" t="inlineStr">
        <is>
          <t>Wed</t>
        </is>
      </c>
      <c r="C249" t="inlineStr">
        <is>
          <t>Client</t>
        </is>
      </c>
      <c r="D249" t="inlineStr">
        <is>
          <t>ADA</t>
        </is>
      </c>
      <c r="E249" t="n">
        <v>2</v>
      </c>
      <c r="F249" t="inlineStr">
        <is>
          <t>04:00-10:00</t>
        </is>
      </c>
      <c r="G249" t="inlineStr">
        <is>
          <t>Patrick</t>
        </is>
      </c>
      <c r="H249" t="inlineStr">
        <is>
          <t>Ivory Tower</t>
        </is>
      </c>
    </row>
    <row r="250">
      <c r="A250" t="inlineStr">
        <is>
          <t>2026-09-23</t>
        </is>
      </c>
      <c r="B250" t="inlineStr">
        <is>
          <t>Wed</t>
        </is>
      </c>
      <c r="C250" t="inlineStr">
        <is>
          <t>Client</t>
        </is>
      </c>
      <c r="D250" t="inlineStr">
        <is>
          <t>Alex</t>
        </is>
      </c>
      <c r="E250" t="n">
        <v>1</v>
      </c>
      <c r="F250" t="inlineStr">
        <is>
          <t>10:00-15:00</t>
        </is>
      </c>
      <c r="H250" t="inlineStr">
        <is>
          <t>Ivory Tower 4~5</t>
        </is>
      </c>
    </row>
    <row r="251">
      <c r="A251" t="inlineStr">
        <is>
          <t>2026-09-23</t>
        </is>
      </c>
      <c r="B251" t="inlineStr">
        <is>
          <t>Wed</t>
        </is>
      </c>
      <c r="C251" t="inlineStr">
        <is>
          <t>Client</t>
        </is>
      </c>
      <c r="D251" t="inlineStr">
        <is>
          <t>Alex</t>
        </is>
      </c>
      <c r="E251" t="n">
        <v>2</v>
      </c>
      <c r="F251" t="inlineStr">
        <is>
          <t>16:00-24:00</t>
        </is>
      </c>
      <c r="H251" t="inlineStr">
        <is>
          <t>Ivory Tower 6~7</t>
        </is>
      </c>
    </row>
    <row r="252">
      <c r="A252" t="inlineStr">
        <is>
          <t>2026-09-23</t>
        </is>
      </c>
      <c r="B252" t="inlineStr">
        <is>
          <t>Wed</t>
        </is>
      </c>
      <c r="C252" t="inlineStr">
        <is>
          <t>Client</t>
        </is>
      </c>
      <c r="D252" t="inlineStr">
        <is>
          <t>Alex</t>
        </is>
      </c>
      <c r="E252" t="n">
        <v>3</v>
      </c>
      <c r="F252" t="inlineStr">
        <is>
          <t>24:00-08:00</t>
        </is>
      </c>
      <c r="H252" t="inlineStr">
        <is>
          <t>Ivory Tower 4~5</t>
        </is>
      </c>
    </row>
    <row r="253">
      <c r="A253" t="inlineStr">
        <is>
          <t>2026-09-23</t>
        </is>
      </c>
      <c r="B253" t="inlineStr">
        <is>
          <t>Wed</t>
        </is>
      </c>
      <c r="C253" t="inlineStr">
        <is>
          <t>Client</t>
        </is>
      </c>
      <c r="D253" t="inlineStr">
        <is>
          <t>Beongaebul</t>
        </is>
      </c>
      <c r="E253" t="n">
        <v>1</v>
      </c>
      <c r="F253" t="inlineStr">
        <is>
          <t>01:00-09:00</t>
        </is>
      </c>
      <c r="G253" t="inlineStr">
        <is>
          <t>Raul</t>
        </is>
      </c>
      <c r="H253" t="inlineStr">
        <is>
          <t>Abandoned Land</t>
        </is>
      </c>
      <c r="I253" t="n">
        <v>0.2826</v>
      </c>
    </row>
    <row r="254">
      <c r="A254" t="inlineStr">
        <is>
          <t>2026-09-23</t>
        </is>
      </c>
      <c r="B254" t="inlineStr">
        <is>
          <t>Wed</t>
        </is>
      </c>
      <c r="C254" t="inlineStr">
        <is>
          <t>Client</t>
        </is>
      </c>
      <c r="D254" t="inlineStr">
        <is>
          <t>Captain</t>
        </is>
      </c>
      <c r="E254" t="n">
        <v>1</v>
      </c>
      <c r="F254" t="inlineStr">
        <is>
          <t>OFF</t>
        </is>
      </c>
    </row>
    <row r="255">
      <c r="A255" t="inlineStr">
        <is>
          <t>2026-09-23</t>
        </is>
      </c>
      <c r="B255" t="inlineStr">
        <is>
          <t>Wed</t>
        </is>
      </c>
      <c r="C255" t="inlineStr">
        <is>
          <t>Client</t>
        </is>
      </c>
      <c r="D255" t="inlineStr">
        <is>
          <t>Captain</t>
        </is>
      </c>
      <c r="E255" t="n">
        <v>2</v>
      </c>
      <c r="F255" t="inlineStr">
        <is>
          <t>OFF</t>
        </is>
      </c>
    </row>
    <row r="256">
      <c r="A256" t="inlineStr">
        <is>
          <t>2026-09-23</t>
        </is>
      </c>
      <c r="B256" t="inlineStr">
        <is>
          <t>Wed</t>
        </is>
      </c>
      <c r="C256" t="inlineStr">
        <is>
          <t>Client</t>
        </is>
      </c>
      <c r="D256" t="inlineStr">
        <is>
          <t>Dalo</t>
        </is>
      </c>
      <c r="E256" t="n">
        <v>1</v>
      </c>
      <c r="F256" t="inlineStr">
        <is>
          <t>OFF</t>
        </is>
      </c>
    </row>
    <row r="257">
      <c r="A257" t="inlineStr">
        <is>
          <t>2026-09-23</t>
        </is>
      </c>
      <c r="B257" t="inlineStr">
        <is>
          <t>Wed</t>
        </is>
      </c>
      <c r="C257" t="inlineStr">
        <is>
          <t>Client</t>
        </is>
      </c>
      <c r="D257" t="inlineStr">
        <is>
          <t>Dalo</t>
        </is>
      </c>
      <c r="E257" t="n">
        <v>2</v>
      </c>
      <c r="F257" t="inlineStr">
        <is>
          <t>OFF</t>
        </is>
      </c>
    </row>
    <row r="258">
      <c r="A258" t="inlineStr">
        <is>
          <t>2026-09-23</t>
        </is>
      </c>
      <c r="B258" t="inlineStr">
        <is>
          <t>Wed</t>
        </is>
      </c>
      <c r="C258" t="inlineStr">
        <is>
          <t>Client</t>
        </is>
      </c>
      <c r="D258" t="inlineStr">
        <is>
          <t>Dalo</t>
        </is>
      </c>
      <c r="E258" t="n">
        <v>3</v>
      </c>
      <c r="F258" t="inlineStr">
        <is>
          <t>OFF</t>
        </is>
      </c>
    </row>
    <row r="259">
      <c r="A259" t="inlineStr">
        <is>
          <t>2026-09-23</t>
        </is>
      </c>
      <c r="B259" t="inlineStr">
        <is>
          <t>Wed</t>
        </is>
      </c>
      <c r="C259" t="inlineStr">
        <is>
          <t>Client</t>
        </is>
      </c>
      <c r="D259" t="inlineStr">
        <is>
          <t>Dodam</t>
        </is>
      </c>
      <c r="E259" t="n">
        <v>1</v>
      </c>
      <c r="F259" t="inlineStr">
        <is>
          <t>23:00-11:00</t>
        </is>
      </c>
      <c r="G259" t="inlineStr">
        <is>
          <t>Cath Valdez</t>
        </is>
      </c>
      <c r="H259" t="inlineStr">
        <is>
          <t>Island of Dreams</t>
        </is>
      </c>
      <c r="I259" t="n">
        <v>0.0801</v>
      </c>
    </row>
    <row r="260">
      <c r="A260" t="inlineStr">
        <is>
          <t>2026-09-23</t>
        </is>
      </c>
      <c r="B260" t="inlineStr">
        <is>
          <t>Wed</t>
        </is>
      </c>
      <c r="C260" t="inlineStr">
        <is>
          <t>Client</t>
        </is>
      </c>
      <c r="D260" t="inlineStr">
        <is>
          <t>Dodam</t>
        </is>
      </c>
      <c r="E260" t="n">
        <v>2</v>
      </c>
      <c r="F260" t="inlineStr">
        <is>
          <t>07:00-19:00</t>
        </is>
      </c>
    </row>
    <row r="261">
      <c r="A261" t="inlineStr">
        <is>
          <t>2026-09-23</t>
        </is>
      </c>
      <c r="B261" t="inlineStr">
        <is>
          <t>Wed</t>
        </is>
      </c>
      <c r="C261" t="inlineStr">
        <is>
          <t>Client</t>
        </is>
      </c>
      <c r="D261" t="inlineStr">
        <is>
          <t>Dol</t>
        </is>
      </c>
      <c r="E261" t="n">
        <v>1</v>
      </c>
      <c r="F261" t="inlineStr">
        <is>
          <t>24:00-08:00</t>
        </is>
      </c>
      <c r="G261" t="inlineStr">
        <is>
          <t>Smartley</t>
        </is>
      </c>
      <c r="H261" t="inlineStr">
        <is>
          <t>Dragon Valley</t>
        </is>
      </c>
      <c r="I261" t="n">
        <v>0.164</v>
      </c>
    </row>
    <row r="262">
      <c r="A262" t="inlineStr">
        <is>
          <t>2026-09-23</t>
        </is>
      </c>
      <c r="B262" t="inlineStr">
        <is>
          <t>Wed</t>
        </is>
      </c>
      <c r="C262" t="inlineStr">
        <is>
          <t>Client</t>
        </is>
      </c>
      <c r="D262" t="inlineStr">
        <is>
          <t>Dol</t>
        </is>
      </c>
      <c r="E262" t="n">
        <v>2</v>
      </c>
      <c r="F262" t="inlineStr">
        <is>
          <t>17:00-24:00</t>
        </is>
      </c>
      <c r="G262" t="inlineStr">
        <is>
          <t>Angelo Diocales</t>
        </is>
      </c>
      <c r="H262" t="inlineStr">
        <is>
          <t>AL</t>
        </is>
      </c>
    </row>
    <row r="263">
      <c r="A263" t="inlineStr">
        <is>
          <t>2026-09-23</t>
        </is>
      </c>
      <c r="B263" t="inlineStr">
        <is>
          <t>Wed</t>
        </is>
      </c>
      <c r="C263" t="inlineStr">
        <is>
          <t>Client</t>
        </is>
      </c>
      <c r="D263" t="inlineStr">
        <is>
          <t>Doma</t>
        </is>
      </c>
      <c r="E263" t="n">
        <v>1</v>
      </c>
      <c r="F263" t="inlineStr">
        <is>
          <t>09:00-14:00</t>
        </is>
      </c>
      <c r="G263" t="inlineStr">
        <is>
          <t>Roderick</t>
        </is>
      </c>
      <c r="H263" t="inlineStr">
        <is>
          <t>Ivory Tower</t>
        </is>
      </c>
      <c r="I263" t="n">
        <v>0.007</v>
      </c>
    </row>
    <row r="264">
      <c r="A264" t="inlineStr">
        <is>
          <t>2026-09-23</t>
        </is>
      </c>
      <c r="B264" t="inlineStr">
        <is>
          <t>Wed</t>
        </is>
      </c>
      <c r="C264" t="inlineStr">
        <is>
          <t>Client</t>
        </is>
      </c>
      <c r="D264" t="inlineStr">
        <is>
          <t>Doma</t>
        </is>
      </c>
      <c r="E264" t="n">
        <v>2</v>
      </c>
      <c r="F264" t="inlineStr">
        <is>
          <t>23:00-07:00</t>
        </is>
      </c>
      <c r="G264" t="inlineStr">
        <is>
          <t>Mark Anthony</t>
        </is>
      </c>
      <c r="H264" t="inlineStr">
        <is>
          <t>Ivory Tower</t>
        </is>
      </c>
      <c r="I264" t="n">
        <v>0.0169</v>
      </c>
    </row>
    <row r="265">
      <c r="A265" t="inlineStr">
        <is>
          <t>2026-09-23</t>
        </is>
      </c>
      <c r="B265" t="inlineStr">
        <is>
          <t>Wed</t>
        </is>
      </c>
      <c r="C265" t="inlineStr">
        <is>
          <t>Client</t>
        </is>
      </c>
      <c r="D265" t="inlineStr">
        <is>
          <t>Duga</t>
        </is>
      </c>
      <c r="E265" t="n">
        <v>1</v>
      </c>
      <c r="F265" t="inlineStr">
        <is>
          <t>09:00-17:00</t>
        </is>
      </c>
      <c r="G265" t="inlineStr">
        <is>
          <t>Patrick Rivera</t>
        </is>
      </c>
      <c r="H265" t="inlineStr">
        <is>
          <t>Oman/ Ivory Tower</t>
        </is>
      </c>
      <c r="I265" t="n">
        <v>0.0165</v>
      </c>
    </row>
    <row r="266">
      <c r="A266" t="inlineStr">
        <is>
          <t>2026-09-23</t>
        </is>
      </c>
      <c r="B266" t="inlineStr">
        <is>
          <t>Wed</t>
        </is>
      </c>
      <c r="C266" t="inlineStr">
        <is>
          <t>Client</t>
        </is>
      </c>
      <c r="D266" t="inlineStr">
        <is>
          <t>Elf</t>
        </is>
      </c>
      <c r="E266" t="n">
        <v>1</v>
      </c>
      <c r="F266" t="inlineStr">
        <is>
          <t>OFF</t>
        </is>
      </c>
    </row>
    <row r="267">
      <c r="A267" t="inlineStr">
        <is>
          <t>2026-09-23</t>
        </is>
      </c>
      <c r="B267" t="inlineStr">
        <is>
          <t>Wed</t>
        </is>
      </c>
      <c r="C267" t="inlineStr">
        <is>
          <t>Client</t>
        </is>
      </c>
      <c r="D267" t="inlineStr">
        <is>
          <t>Geonbae</t>
        </is>
      </c>
      <c r="E267" t="n">
        <v>1</v>
      </c>
      <c r="F267" t="inlineStr">
        <is>
          <t>10:30-13:30</t>
        </is>
      </c>
      <c r="G267" t="inlineStr">
        <is>
          <t>TL-John</t>
        </is>
      </c>
      <c r="H267" t="inlineStr">
        <is>
          <t>Island of Dreams</t>
        </is>
      </c>
      <c r="I267" t="n">
        <v>0.0229</v>
      </c>
    </row>
    <row r="268">
      <c r="A268" t="inlineStr">
        <is>
          <t>2026-09-23</t>
        </is>
      </c>
      <c r="B268" t="inlineStr">
        <is>
          <t>Wed</t>
        </is>
      </c>
      <c r="C268" t="inlineStr">
        <is>
          <t>Client</t>
        </is>
      </c>
      <c r="D268" t="inlineStr">
        <is>
          <t>Geonbae</t>
        </is>
      </c>
      <c r="E268" t="n">
        <v>2</v>
      </c>
      <c r="F268" t="inlineStr">
        <is>
          <t>23:00-07:00</t>
        </is>
      </c>
      <c r="G268" t="inlineStr">
        <is>
          <t>Jheco</t>
        </is>
      </c>
      <c r="H268" t="inlineStr">
        <is>
          <t>Ivory Tower</t>
        </is>
      </c>
      <c r="I268" t="n">
        <v>0.0619</v>
      </c>
    </row>
    <row r="269">
      <c r="A269" t="inlineStr">
        <is>
          <t>2026-09-23</t>
        </is>
      </c>
      <c r="B269" t="inlineStr">
        <is>
          <t>Wed</t>
        </is>
      </c>
      <c r="C269" t="inlineStr">
        <is>
          <t>Client</t>
        </is>
      </c>
      <c r="D269" t="inlineStr">
        <is>
          <t>Goop</t>
        </is>
      </c>
      <c r="E269" t="n">
        <v>1</v>
      </c>
      <c r="F269" t="inlineStr">
        <is>
          <t>OFF</t>
        </is>
      </c>
    </row>
    <row r="270">
      <c r="A270" t="inlineStr">
        <is>
          <t>2026-09-23</t>
        </is>
      </c>
      <c r="B270" t="inlineStr">
        <is>
          <t>Wed</t>
        </is>
      </c>
      <c r="C270" t="inlineStr">
        <is>
          <t>Client</t>
        </is>
      </c>
      <c r="D270" t="inlineStr">
        <is>
          <t>Heon</t>
        </is>
      </c>
      <c r="E270" t="n">
        <v>1</v>
      </c>
      <c r="F270" t="inlineStr">
        <is>
          <t>OFF</t>
        </is>
      </c>
      <c r="H270" t="inlineStr">
        <is>
          <t>Abandoned Land (Abyss) 6
ivory tower 2</t>
        </is>
      </c>
      <c r="K270" t="inlineStr">
        <is>
          <t>E-Potion O</t>
        </is>
      </c>
      <c r="L270" t="inlineStr">
        <is>
          <t>555 buff</t>
        </is>
      </c>
      <c r="M270" t="inlineStr">
        <is>
          <t>Shield, Armour O</t>
        </is>
      </c>
    </row>
    <row r="271">
      <c r="A271" t="inlineStr">
        <is>
          <t>2026-09-23</t>
        </is>
      </c>
      <c r="B271" t="inlineStr">
        <is>
          <t>Wed</t>
        </is>
      </c>
      <c r="C271" t="inlineStr">
        <is>
          <t>Client</t>
        </is>
      </c>
      <c r="D271" t="inlineStr">
        <is>
          <t>Jjuni</t>
        </is>
      </c>
      <c r="E271" t="n">
        <v>1</v>
      </c>
      <c r="F271" t="inlineStr">
        <is>
          <t>14:00-21:00</t>
        </is>
      </c>
      <c r="H271" t="inlineStr">
        <is>
          <t>Ivory Tower</t>
        </is>
      </c>
    </row>
    <row r="272">
      <c r="A272" t="inlineStr">
        <is>
          <t>2026-09-23</t>
        </is>
      </c>
      <c r="B272" t="inlineStr">
        <is>
          <t>Wed</t>
        </is>
      </c>
      <c r="C272" t="inlineStr">
        <is>
          <t>Client</t>
        </is>
      </c>
      <c r="D272" t="inlineStr">
        <is>
          <t>Jjuni</t>
        </is>
      </c>
      <c r="E272" t="n">
        <v>2</v>
      </c>
      <c r="F272" t="inlineStr">
        <is>
          <t>OFF</t>
        </is>
      </c>
    </row>
    <row r="273">
      <c r="A273" t="inlineStr">
        <is>
          <t>2026-09-23</t>
        </is>
      </c>
      <c r="B273" t="inlineStr">
        <is>
          <t>Wed</t>
        </is>
      </c>
      <c r="C273" t="inlineStr">
        <is>
          <t>Client</t>
        </is>
      </c>
      <c r="D273" t="inlineStr">
        <is>
          <t>Jjuni</t>
        </is>
      </c>
      <c r="E273" t="n">
        <v>3</v>
      </c>
      <c r="F273" t="inlineStr">
        <is>
          <t>OFF</t>
        </is>
      </c>
      <c r="H273" t="inlineStr">
        <is>
          <t>Ivory Tower</t>
        </is>
      </c>
    </row>
    <row r="274">
      <c r="A274" t="inlineStr">
        <is>
          <t>2026-09-23</t>
        </is>
      </c>
      <c r="B274" t="inlineStr">
        <is>
          <t>Wed</t>
        </is>
      </c>
      <c r="C274" t="inlineStr">
        <is>
          <t>Client</t>
        </is>
      </c>
      <c r="D274" t="inlineStr">
        <is>
          <t>Jo</t>
        </is>
      </c>
      <c r="E274" t="n">
        <v>1</v>
      </c>
      <c r="F274" t="inlineStr">
        <is>
          <t>OFF</t>
        </is>
      </c>
    </row>
    <row r="275">
      <c r="A275" t="inlineStr">
        <is>
          <t>2026-09-23</t>
        </is>
      </c>
      <c r="B275" t="inlineStr">
        <is>
          <t>Wed</t>
        </is>
      </c>
      <c r="C275" t="inlineStr">
        <is>
          <t>Client</t>
        </is>
      </c>
      <c r="D275" t="inlineStr">
        <is>
          <t>Lammy Queen</t>
        </is>
      </c>
      <c r="E275" t="n">
        <v>1</v>
      </c>
      <c r="F275" t="inlineStr">
        <is>
          <t>OFF</t>
        </is>
      </c>
      <c r="H275" t="inlineStr">
        <is>
          <t>Ivory Tower</t>
        </is>
      </c>
    </row>
    <row r="276">
      <c r="A276" t="inlineStr">
        <is>
          <t>2026-09-23</t>
        </is>
      </c>
      <c r="B276" t="inlineStr">
        <is>
          <t>Wed</t>
        </is>
      </c>
      <c r="C276" t="inlineStr">
        <is>
          <t>Client</t>
        </is>
      </c>
      <c r="D276" t="inlineStr">
        <is>
          <t>Lammy Queen</t>
        </is>
      </c>
      <c r="E276" t="n">
        <v>2</v>
      </c>
      <c r="F276" t="inlineStr">
        <is>
          <t>01:00-09:00</t>
        </is>
      </c>
      <c r="G276" t="inlineStr">
        <is>
          <t>Chester</t>
        </is>
      </c>
      <c r="H276" t="inlineStr">
        <is>
          <t>Abandon Land</t>
        </is>
      </c>
      <c r="I276" t="n">
        <v>0.0581</v>
      </c>
    </row>
    <row r="277">
      <c r="A277" t="inlineStr">
        <is>
          <t>2026-09-23</t>
        </is>
      </c>
      <c r="B277" t="inlineStr">
        <is>
          <t>Wed</t>
        </is>
      </c>
      <c r="C277" t="inlineStr">
        <is>
          <t>Client</t>
        </is>
      </c>
      <c r="D277" t="inlineStr">
        <is>
          <t>Lolly</t>
        </is>
      </c>
      <c r="E277" t="n">
        <v>1</v>
      </c>
      <c r="F277" t="inlineStr">
        <is>
          <t>09:00-19:00</t>
        </is>
      </c>
      <c r="G277" t="inlineStr">
        <is>
          <t>Mitchell</t>
        </is>
      </c>
      <c r="H277" t="inlineStr">
        <is>
          <t>abandoned land 3
a land of corruption5</t>
        </is>
      </c>
      <c r="K277" t="inlineStr">
        <is>
          <t>E-Potion O</t>
        </is>
      </c>
      <c r="L277" t="inlineStr">
        <is>
          <t>555 buff</t>
        </is>
      </c>
      <c r="M277" t="inlineStr">
        <is>
          <t>Shield, Armour O</t>
        </is>
      </c>
    </row>
    <row r="278">
      <c r="A278" t="inlineStr">
        <is>
          <t>2026-09-23</t>
        </is>
      </c>
      <c r="B278" t="inlineStr">
        <is>
          <t>Wed</t>
        </is>
      </c>
      <c r="C278" t="inlineStr">
        <is>
          <t>Client</t>
        </is>
      </c>
      <c r="D278" t="inlineStr">
        <is>
          <t>Mukkbo</t>
        </is>
      </c>
      <c r="E278" t="n">
        <v>1</v>
      </c>
      <c r="F278" t="inlineStr">
        <is>
          <t>OFF</t>
        </is>
      </c>
    </row>
    <row r="279">
      <c r="A279" t="inlineStr">
        <is>
          <t>2026-09-23</t>
        </is>
      </c>
      <c r="B279" t="inlineStr">
        <is>
          <t>Wed</t>
        </is>
      </c>
      <c r="C279" t="inlineStr">
        <is>
          <t>Client</t>
        </is>
      </c>
      <c r="D279" t="inlineStr">
        <is>
          <t>Mukkbo</t>
        </is>
      </c>
      <c r="E279" t="n">
        <v>2</v>
      </c>
      <c r="F279" t="inlineStr">
        <is>
          <t>OFF</t>
        </is>
      </c>
    </row>
    <row r="280">
      <c r="A280" t="inlineStr">
        <is>
          <t>2026-09-23</t>
        </is>
      </c>
      <c r="B280" t="inlineStr">
        <is>
          <t>Wed</t>
        </is>
      </c>
      <c r="C280" t="inlineStr">
        <is>
          <t>Client</t>
        </is>
      </c>
      <c r="D280" t="inlineStr">
        <is>
          <t>Munjin</t>
        </is>
      </c>
      <c r="E280" t="n">
        <v>1</v>
      </c>
      <c r="F280" t="inlineStr">
        <is>
          <t>OFF</t>
        </is>
      </c>
    </row>
    <row r="281">
      <c r="A281" t="inlineStr">
        <is>
          <t>2026-09-23</t>
        </is>
      </c>
      <c r="B281" t="inlineStr">
        <is>
          <t>Wed</t>
        </is>
      </c>
      <c r="C281" t="inlineStr">
        <is>
          <t>Client</t>
        </is>
      </c>
      <c r="D281" t="inlineStr">
        <is>
          <t>Neburegi</t>
        </is>
      </c>
      <c r="E281" t="n">
        <v>1</v>
      </c>
      <c r="F281" t="inlineStr">
        <is>
          <t>OFF</t>
        </is>
      </c>
    </row>
    <row r="282">
      <c r="A282" t="inlineStr">
        <is>
          <t>2026-09-23</t>
        </is>
      </c>
      <c r="B282" t="inlineStr">
        <is>
          <t>Wed</t>
        </is>
      </c>
      <c r="C282" t="inlineStr">
        <is>
          <t>Client</t>
        </is>
      </c>
      <c r="D282" t="inlineStr">
        <is>
          <t>Olleh</t>
        </is>
      </c>
      <c r="E282" t="n">
        <v>1</v>
      </c>
      <c r="F282" t="inlineStr">
        <is>
          <t>09:00-16:00</t>
        </is>
      </c>
      <c r="G282" t="inlineStr">
        <is>
          <t>Kim Carl</t>
        </is>
      </c>
      <c r="H282" t="inlineStr">
        <is>
          <t>Ivory Tower</t>
        </is>
      </c>
    </row>
    <row r="283">
      <c r="A283" t="inlineStr">
        <is>
          <t>2026-09-23</t>
        </is>
      </c>
      <c r="B283" t="inlineStr">
        <is>
          <t>Wed</t>
        </is>
      </c>
      <c r="C283" t="inlineStr">
        <is>
          <t>Client</t>
        </is>
      </c>
      <c r="D283" t="inlineStr">
        <is>
          <t>Olleh</t>
        </is>
      </c>
      <c r="E283" t="n">
        <v>2</v>
      </c>
      <c r="F283" t="inlineStr">
        <is>
          <t>23:00-11:00</t>
        </is>
      </c>
      <c r="G283" t="inlineStr">
        <is>
          <t>JM Racca</t>
        </is>
      </c>
      <c r="H283" t="inlineStr">
        <is>
          <t>Ivory Tower</t>
        </is>
      </c>
      <c r="I283" t="n">
        <v>0.0175</v>
      </c>
    </row>
    <row r="284">
      <c r="A284" t="inlineStr">
        <is>
          <t>2026-09-23</t>
        </is>
      </c>
      <c r="B284" t="inlineStr">
        <is>
          <t>Wed</t>
        </is>
      </c>
      <c r="C284" t="inlineStr">
        <is>
          <t>Client</t>
        </is>
      </c>
      <c r="D284" t="inlineStr">
        <is>
          <t>Perez</t>
        </is>
      </c>
      <c r="E284" t="n">
        <v>1</v>
      </c>
      <c r="F284" t="inlineStr">
        <is>
          <t>08:00-16:00</t>
        </is>
      </c>
      <c r="G284" t="inlineStr">
        <is>
          <t>Samantha</t>
        </is>
      </c>
    </row>
    <row r="285">
      <c r="A285" t="inlineStr">
        <is>
          <t>2026-09-23</t>
        </is>
      </c>
      <c r="B285" t="inlineStr">
        <is>
          <t>Wed</t>
        </is>
      </c>
      <c r="C285" t="inlineStr">
        <is>
          <t>Client</t>
        </is>
      </c>
      <c r="D285" t="inlineStr">
        <is>
          <t>Perez</t>
        </is>
      </c>
      <c r="E285" t="n">
        <v>2</v>
      </c>
      <c r="F285" t="inlineStr">
        <is>
          <t>OFF</t>
        </is>
      </c>
      <c r="H285" t="inlineStr">
        <is>
          <t>LAND OF FALLEN / SPATOY</t>
        </is>
      </c>
    </row>
    <row r="286">
      <c r="A286" t="inlineStr">
        <is>
          <t>2026-09-23</t>
        </is>
      </c>
      <c r="B286" t="inlineStr">
        <is>
          <t>Wed</t>
        </is>
      </c>
      <c r="C286" t="inlineStr">
        <is>
          <t>Client</t>
        </is>
      </c>
      <c r="D286" t="inlineStr">
        <is>
          <t>Perez</t>
        </is>
      </c>
      <c r="E286" t="n">
        <v>3</v>
      </c>
      <c r="F286" t="inlineStr">
        <is>
          <t>21:00-05:00</t>
        </is>
      </c>
      <c r="G286" t="inlineStr">
        <is>
          <t>Zenron</t>
        </is>
      </c>
      <c r="H286" t="inlineStr">
        <is>
          <t>Abandon Land</t>
        </is>
      </c>
      <c r="I286" t="n">
        <v>0.0122</v>
      </c>
    </row>
    <row r="287">
      <c r="A287" t="inlineStr">
        <is>
          <t>2026-09-23</t>
        </is>
      </c>
      <c r="B287" t="inlineStr">
        <is>
          <t>Wed</t>
        </is>
      </c>
      <c r="C287" t="inlineStr">
        <is>
          <t>Client</t>
        </is>
      </c>
      <c r="D287" t="inlineStr">
        <is>
          <t>Power20</t>
        </is>
      </c>
      <c r="E287" t="n">
        <v>1</v>
      </c>
      <c r="F287" t="inlineStr">
        <is>
          <t>09:00-20:00</t>
        </is>
      </c>
      <c r="G287" t="inlineStr">
        <is>
          <t>Isiah</t>
        </is>
      </c>
    </row>
    <row r="288">
      <c r="A288" t="inlineStr">
        <is>
          <t>2026-09-23</t>
        </is>
      </c>
      <c r="B288" t="inlineStr">
        <is>
          <t>Wed</t>
        </is>
      </c>
      <c r="C288" t="inlineStr">
        <is>
          <t>Client</t>
        </is>
      </c>
      <c r="D288" t="inlineStr">
        <is>
          <t>Power20</t>
        </is>
      </c>
      <c r="E288" t="n">
        <v>2</v>
      </c>
      <c r="F288" t="inlineStr">
        <is>
          <t>OFF</t>
        </is>
      </c>
    </row>
    <row r="289">
      <c r="A289" t="inlineStr">
        <is>
          <t>2026-09-23</t>
        </is>
      </c>
      <c r="B289" t="inlineStr">
        <is>
          <t>Wed</t>
        </is>
      </c>
      <c r="C289" t="inlineStr">
        <is>
          <t>Client</t>
        </is>
      </c>
      <c r="D289" t="inlineStr">
        <is>
          <t>Power20</t>
        </is>
      </c>
      <c r="E289" t="n">
        <v>3</v>
      </c>
      <c r="F289" t="inlineStr">
        <is>
          <t>02:00-10:00</t>
        </is>
      </c>
      <c r="G289" t="inlineStr">
        <is>
          <t>Roderick</t>
        </is>
      </c>
      <c r="H289" t="inlineStr">
        <is>
          <t>Ivory Tower</t>
        </is>
      </c>
      <c r="I289" t="n">
        <v>0.0118</v>
      </c>
    </row>
    <row r="290">
      <c r="A290" t="inlineStr">
        <is>
          <t>2026-09-23</t>
        </is>
      </c>
      <c r="B290" t="inlineStr">
        <is>
          <t>Wed</t>
        </is>
      </c>
      <c r="C290" t="inlineStr">
        <is>
          <t>Client</t>
        </is>
      </c>
      <c r="D290" t="inlineStr">
        <is>
          <t>Real Madrid</t>
        </is>
      </c>
      <c r="E290" t="n">
        <v>1</v>
      </c>
      <c r="F290" t="inlineStr">
        <is>
          <t>24:00-08:00</t>
        </is>
      </c>
      <c r="G290" t="inlineStr">
        <is>
          <t>Mark Valdez</t>
        </is>
      </c>
      <c r="H290" t="inlineStr">
        <is>
          <t>Ivory Tower</t>
        </is>
      </c>
      <c r="I290" t="n">
        <v>0.0169</v>
      </c>
    </row>
    <row r="291">
      <c r="A291" t="inlineStr">
        <is>
          <t>2026-09-23</t>
        </is>
      </c>
      <c r="B291" t="inlineStr">
        <is>
          <t>Wed</t>
        </is>
      </c>
      <c r="C291" t="inlineStr">
        <is>
          <t>Client</t>
        </is>
      </c>
      <c r="D291" t="inlineStr">
        <is>
          <t>Real Madrid</t>
        </is>
      </c>
      <c r="E291" t="n">
        <v>2</v>
      </c>
      <c r="F291" t="inlineStr">
        <is>
          <t>OFF</t>
        </is>
      </c>
      <c r="H291" t="inlineStr">
        <is>
          <t>Ivory Tower</t>
        </is>
      </c>
    </row>
    <row r="292">
      <c r="A292" t="inlineStr">
        <is>
          <t>2026-09-23</t>
        </is>
      </c>
      <c r="B292" t="inlineStr">
        <is>
          <t>Wed</t>
        </is>
      </c>
      <c r="C292" t="inlineStr">
        <is>
          <t>Client</t>
        </is>
      </c>
      <c r="D292" t="inlineStr">
        <is>
          <t>Real Madrid</t>
        </is>
      </c>
      <c r="E292" t="n">
        <v>3</v>
      </c>
      <c r="F292" t="inlineStr">
        <is>
          <t>OFF</t>
        </is>
      </c>
    </row>
    <row r="293">
      <c r="A293" t="inlineStr">
        <is>
          <t>2026-09-23</t>
        </is>
      </c>
      <c r="B293" t="inlineStr">
        <is>
          <t>Wed</t>
        </is>
      </c>
      <c r="C293" t="inlineStr">
        <is>
          <t>Client</t>
        </is>
      </c>
      <c r="D293" t="inlineStr">
        <is>
          <t>Return</t>
        </is>
      </c>
      <c r="E293" t="n">
        <v>1</v>
      </c>
      <c r="F293" t="inlineStr">
        <is>
          <t>03:00-11:00</t>
        </is>
      </c>
      <c r="G293" t="inlineStr">
        <is>
          <t>Monteza</t>
        </is>
      </c>
      <c r="H293" t="inlineStr">
        <is>
          <t>Ivory Tower</t>
        </is>
      </c>
    </row>
    <row r="294">
      <c r="A294" t="inlineStr">
        <is>
          <t>2026-09-23</t>
        </is>
      </c>
      <c r="B294" t="inlineStr">
        <is>
          <t>Wed</t>
        </is>
      </c>
      <c r="C294" t="inlineStr">
        <is>
          <t>Client</t>
        </is>
      </c>
      <c r="D294" t="inlineStr">
        <is>
          <t>Road</t>
        </is>
      </c>
      <c r="E294" t="n">
        <v>1</v>
      </c>
      <c r="F294" t="inlineStr">
        <is>
          <t>OFF</t>
        </is>
      </c>
    </row>
    <row r="295">
      <c r="A295" t="inlineStr">
        <is>
          <t>2026-09-23</t>
        </is>
      </c>
      <c r="B295" t="inlineStr">
        <is>
          <t>Wed</t>
        </is>
      </c>
      <c r="C295" t="inlineStr">
        <is>
          <t>Client</t>
        </is>
      </c>
      <c r="D295" t="inlineStr">
        <is>
          <t>SSEN</t>
        </is>
      </c>
      <c r="E295" t="n">
        <v>1</v>
      </c>
      <c r="F295" t="inlineStr">
        <is>
          <t>09:00-21:00</t>
        </is>
      </c>
      <c r="G295" t="inlineStr">
        <is>
          <t>Samantha</t>
        </is>
      </c>
    </row>
    <row r="296">
      <c r="A296" t="inlineStr">
        <is>
          <t>2026-09-23</t>
        </is>
      </c>
      <c r="B296" t="inlineStr">
        <is>
          <t>Wed</t>
        </is>
      </c>
      <c r="C296" t="inlineStr">
        <is>
          <t>Client</t>
        </is>
      </c>
      <c r="D296" t="inlineStr">
        <is>
          <t>Tiger</t>
        </is>
      </c>
      <c r="E296" t="n">
        <v>1</v>
      </c>
      <c r="F296" t="inlineStr">
        <is>
          <t>OFF</t>
        </is>
      </c>
    </row>
    <row r="297">
      <c r="A297" t="inlineStr">
        <is>
          <t>2026-09-23</t>
        </is>
      </c>
      <c r="B297" t="inlineStr">
        <is>
          <t>Wed</t>
        </is>
      </c>
      <c r="C297" t="inlineStr">
        <is>
          <t>Client</t>
        </is>
      </c>
      <c r="D297" t="inlineStr">
        <is>
          <t>Tiger</t>
        </is>
      </c>
      <c r="E297" t="n">
        <v>2</v>
      </c>
      <c r="F297" t="inlineStr">
        <is>
          <t>OFF</t>
        </is>
      </c>
      <c r="H297" t="inlineStr">
        <is>
          <t>Ivory Tower</t>
        </is>
      </c>
    </row>
    <row r="298">
      <c r="A298" t="inlineStr">
        <is>
          <t>2026-09-23</t>
        </is>
      </c>
      <c r="B298" t="inlineStr">
        <is>
          <t>Wed</t>
        </is>
      </c>
      <c r="C298" t="inlineStr">
        <is>
          <t>Client</t>
        </is>
      </c>
      <c r="D298" t="inlineStr">
        <is>
          <t>Yeoseo</t>
        </is>
      </c>
      <c r="E298" t="n">
        <v>1</v>
      </c>
      <c r="F298" t="inlineStr">
        <is>
          <t>OFF</t>
        </is>
      </c>
      <c r="H298" t="inlineStr">
        <is>
          <t>abandoned land 3
a land of corruption5</t>
        </is>
      </c>
      <c r="K298" t="inlineStr">
        <is>
          <t>E-Potion O</t>
        </is>
      </c>
      <c r="L298" t="inlineStr">
        <is>
          <t>555 buff</t>
        </is>
      </c>
      <c r="M298" t="inlineStr">
        <is>
          <t>Shield, Armour O</t>
        </is>
      </c>
    </row>
    <row r="299">
      <c r="A299" t="inlineStr">
        <is>
          <t>2026-09-23</t>
        </is>
      </c>
      <c r="B299" t="inlineStr">
        <is>
          <t>Wed</t>
        </is>
      </c>
      <c r="C299" t="inlineStr">
        <is>
          <t>Client</t>
        </is>
      </c>
      <c r="D299" t="inlineStr">
        <is>
          <t>Zombie</t>
        </is>
      </c>
      <c r="E299" t="n">
        <v>1</v>
      </c>
      <c r="F299" t="inlineStr">
        <is>
          <t>OFF</t>
        </is>
      </c>
    </row>
    <row r="300">
      <c r="A300" t="inlineStr">
        <is>
          <t>2026-09-23</t>
        </is>
      </c>
      <c r="B300" t="inlineStr">
        <is>
          <t>Wed</t>
        </is>
      </c>
      <c r="C300" t="inlineStr">
        <is>
          <t>Client</t>
        </is>
      </c>
      <c r="D300" t="inlineStr">
        <is>
          <t>Zombie</t>
        </is>
      </c>
      <c r="E300" t="n">
        <v>2</v>
      </c>
      <c r="F300" t="inlineStr">
        <is>
          <t>OFF</t>
        </is>
      </c>
    </row>
    <row r="301">
      <c r="A301" t="inlineStr">
        <is>
          <t>2026-09-23</t>
        </is>
      </c>
      <c r="B301" t="inlineStr">
        <is>
          <t>Wed</t>
        </is>
      </c>
      <c r="C301" t="inlineStr">
        <is>
          <t>Client</t>
        </is>
      </c>
      <c r="D301" t="inlineStr">
        <is>
          <t>Zombie</t>
        </is>
      </c>
      <c r="E301" t="n">
        <v>3</v>
      </c>
      <c r="F301" t="inlineStr">
        <is>
          <t>OFF</t>
        </is>
      </c>
      <c r="H301" t="inlineStr">
        <is>
          <t>Ivory Tower</t>
        </is>
      </c>
    </row>
    <row r="302">
      <c r="A302" t="inlineStr">
        <is>
          <t>2026-09-23</t>
        </is>
      </c>
      <c r="B302" t="inlineStr">
        <is>
          <t>Wed</t>
        </is>
      </c>
      <c r="C302" t="inlineStr">
        <is>
          <t>Farming</t>
        </is>
      </c>
      <c r="D302" t="inlineStr">
        <is>
          <t>Kangaroo</t>
        </is>
      </c>
      <c r="E302" t="n">
        <v>1</v>
      </c>
      <c r="F302" t="inlineStr">
        <is>
          <t>09:00-16:00</t>
        </is>
      </c>
      <c r="G302" t="inlineStr">
        <is>
          <t>Jan Nino</t>
        </is>
      </c>
      <c r="H302" t="inlineStr">
        <is>
          <t>Corrupted Land</t>
        </is>
      </c>
      <c r="I302" t="inlineStr">
        <is>
          <t>↓</t>
        </is>
      </c>
      <c r="J302" t="inlineStr">
        <is>
          <t>↓</t>
        </is>
      </c>
      <c r="K302" t="inlineStr">
        <is>
          <t>↓</t>
        </is>
      </c>
      <c r="L302" t="inlineStr">
        <is>
          <t>↓</t>
        </is>
      </c>
      <c r="M302" t="inlineStr">
        <is>
          <t>↓</t>
        </is>
      </c>
    </row>
    <row r="303">
      <c r="A303" t="inlineStr">
        <is>
          <t>2026-09-23</t>
        </is>
      </c>
      <c r="B303" t="inlineStr">
        <is>
          <t>Wed</t>
        </is>
      </c>
      <c r="C303" t="inlineStr">
        <is>
          <t>Farming</t>
        </is>
      </c>
      <c r="D303" t="inlineStr">
        <is>
          <t>Kangaroo</t>
        </is>
      </c>
      <c r="E303" t="n">
        <v>2</v>
      </c>
      <c r="F303" t="inlineStr">
        <is>
          <t>16:00-24:00</t>
        </is>
      </c>
      <c r="G303" t="inlineStr">
        <is>
          <t>Jan Nino</t>
        </is>
      </c>
      <c r="H303" t="inlineStr">
        <is>
          <t>Corrupted Land</t>
        </is>
      </c>
    </row>
    <row r="304">
      <c r="A304" t="inlineStr">
        <is>
          <t>2026-09-23</t>
        </is>
      </c>
      <c r="B304" t="inlineStr">
        <is>
          <t>Wed</t>
        </is>
      </c>
      <c r="C304" t="inlineStr">
        <is>
          <t>Farming</t>
        </is>
      </c>
      <c r="D304" t="inlineStr">
        <is>
          <t>Kangaroo</t>
        </is>
      </c>
      <c r="E304" t="n">
        <v>3</v>
      </c>
      <c r="F304" t="inlineStr">
        <is>
          <t>24:00-08:00</t>
        </is>
      </c>
      <c r="G304" t="inlineStr">
        <is>
          <t>Richard Salupari</t>
        </is>
      </c>
      <c r="H304" t="inlineStr">
        <is>
          <t>Corrupted Land</t>
        </is>
      </c>
      <c r="I304" t="n">
        <v>0.0648</v>
      </c>
    </row>
    <row r="305">
      <c r="A305" t="inlineStr">
        <is>
          <t>2026-09-23</t>
        </is>
      </c>
      <c r="B305" t="inlineStr">
        <is>
          <t>Wed</t>
        </is>
      </c>
      <c r="C305" t="inlineStr">
        <is>
          <t>Farming</t>
        </is>
      </c>
      <c r="D305" t="inlineStr">
        <is>
          <t>Kyoryu</t>
        </is>
      </c>
      <c r="E305" t="n">
        <v>1</v>
      </c>
      <c r="F305" t="inlineStr">
        <is>
          <t>08:00-16:00</t>
        </is>
      </c>
    </row>
    <row r="306">
      <c r="A306" t="inlineStr">
        <is>
          <t>2026-09-23</t>
        </is>
      </c>
      <c r="B306" t="inlineStr">
        <is>
          <t>Wed</t>
        </is>
      </c>
      <c r="C306" t="inlineStr">
        <is>
          <t>Farming</t>
        </is>
      </c>
      <c r="D306" t="inlineStr">
        <is>
          <t>Kyoryu</t>
        </is>
      </c>
      <c r="E306" t="n">
        <v>2</v>
      </c>
      <c r="F306" t="inlineStr">
        <is>
          <t>16:00-24:00</t>
        </is>
      </c>
      <c r="G306" t="inlineStr">
        <is>
          <t>Adrian Torres</t>
        </is>
      </c>
      <c r="H306" t="inlineStr">
        <is>
          <t>ELMORE &amp; DD</t>
        </is>
      </c>
    </row>
    <row r="307">
      <c r="A307" t="inlineStr">
        <is>
          <t>2026-09-23</t>
        </is>
      </c>
      <c r="B307" t="inlineStr">
        <is>
          <t>Wed</t>
        </is>
      </c>
      <c r="C307" t="inlineStr">
        <is>
          <t>Farming</t>
        </is>
      </c>
      <c r="D307" t="inlineStr">
        <is>
          <t>Kyoryu</t>
        </is>
      </c>
      <c r="E307" t="n">
        <v>3</v>
      </c>
      <c r="F307" t="inlineStr">
        <is>
          <t>24:00-08:00</t>
        </is>
      </c>
      <c r="H307" t="inlineStr">
        <is>
          <t>Elmore</t>
        </is>
      </c>
    </row>
    <row r="308">
      <c r="A308" t="inlineStr">
        <is>
          <t>2026-09-23</t>
        </is>
      </c>
      <c r="B308" t="inlineStr">
        <is>
          <t>Wed</t>
        </is>
      </c>
      <c r="C308" t="inlineStr">
        <is>
          <t>Farming</t>
        </is>
      </c>
      <c r="D308" t="inlineStr">
        <is>
          <t>Marcelo</t>
        </is>
      </c>
      <c r="E308" t="n">
        <v>1</v>
      </c>
      <c r="F308" t="inlineStr">
        <is>
          <t>08:00-16:00</t>
        </is>
      </c>
    </row>
    <row r="309">
      <c r="A309" t="inlineStr">
        <is>
          <t>2026-09-23</t>
        </is>
      </c>
      <c r="B309" t="inlineStr">
        <is>
          <t>Wed</t>
        </is>
      </c>
      <c r="C309" t="inlineStr">
        <is>
          <t>Farming</t>
        </is>
      </c>
      <c r="D309" t="inlineStr">
        <is>
          <t>Marcelo</t>
        </is>
      </c>
      <c r="E309" t="n">
        <v>2</v>
      </c>
      <c r="F309" t="inlineStr">
        <is>
          <t>16:00-24:00</t>
        </is>
      </c>
      <c r="H309" t="inlineStr">
        <is>
          <t>ELMORE &amp; DD</t>
        </is>
      </c>
    </row>
    <row r="310">
      <c r="A310" t="inlineStr">
        <is>
          <t>2026-09-23</t>
        </is>
      </c>
      <c r="B310" t="inlineStr">
        <is>
          <t>Wed</t>
        </is>
      </c>
      <c r="C310" t="inlineStr">
        <is>
          <t>Farming</t>
        </is>
      </c>
      <c r="D310" t="inlineStr">
        <is>
          <t>Marcelo</t>
        </is>
      </c>
      <c r="E310" t="n">
        <v>3</v>
      </c>
      <c r="F310" t="inlineStr">
        <is>
          <t>24:00-08:00</t>
        </is>
      </c>
      <c r="G310" t="inlineStr">
        <is>
          <t>Lourence</t>
        </is>
      </c>
      <c r="H310" t="inlineStr">
        <is>
          <t>Elmore</t>
        </is>
      </c>
      <c r="I310" t="n">
        <v>0.0143</v>
      </c>
      <c r="J310" t="n">
        <v>44913</v>
      </c>
    </row>
    <row r="311">
      <c r="A311" t="inlineStr">
        <is>
          <t>2026-09-23</t>
        </is>
      </c>
      <c r="B311" t="inlineStr">
        <is>
          <t>Wed</t>
        </is>
      </c>
      <c r="C311" t="inlineStr">
        <is>
          <t>Farming</t>
        </is>
      </c>
      <c r="D311" t="inlineStr">
        <is>
          <t>OldBlood</t>
        </is>
      </c>
      <c r="E311" t="n">
        <v>1</v>
      </c>
      <c r="F311" t="inlineStr">
        <is>
          <t>24:00-08:00</t>
        </is>
      </c>
    </row>
    <row r="312">
      <c r="A312" t="inlineStr">
        <is>
          <t>2026-09-23</t>
        </is>
      </c>
      <c r="B312" t="inlineStr">
        <is>
          <t>Wed</t>
        </is>
      </c>
      <c r="C312" t="inlineStr">
        <is>
          <t>Farming</t>
        </is>
      </c>
      <c r="D312" t="inlineStr">
        <is>
          <t>Pele</t>
        </is>
      </c>
      <c r="E312" t="n">
        <v>1</v>
      </c>
      <c r="F312" t="inlineStr">
        <is>
          <t>08:00-16:00</t>
        </is>
      </c>
    </row>
    <row r="313">
      <c r="A313" t="inlineStr">
        <is>
          <t>2026-09-23</t>
        </is>
      </c>
      <c r="B313" t="inlineStr">
        <is>
          <t>Wed</t>
        </is>
      </c>
      <c r="C313" t="inlineStr">
        <is>
          <t>Farming</t>
        </is>
      </c>
      <c r="D313" t="inlineStr">
        <is>
          <t>Pele</t>
        </is>
      </c>
      <c r="E313" t="n">
        <v>2</v>
      </c>
      <c r="F313" t="inlineStr">
        <is>
          <t>16:00-24:00</t>
        </is>
      </c>
      <c r="G313" t="inlineStr">
        <is>
          <t>Jay Penilla</t>
        </is>
      </c>
      <c r="H313" t="inlineStr">
        <is>
          <t>ANT &amp; ELMORE</t>
        </is>
      </c>
    </row>
    <row r="314">
      <c r="A314" t="inlineStr">
        <is>
          <t>2026-09-23</t>
        </is>
      </c>
      <c r="B314" t="inlineStr">
        <is>
          <t>Wed</t>
        </is>
      </c>
      <c r="C314" t="inlineStr">
        <is>
          <t>Farming</t>
        </is>
      </c>
      <c r="D314" t="inlineStr">
        <is>
          <t>Pele</t>
        </is>
      </c>
      <c r="E314" t="n">
        <v>3</v>
      </c>
      <c r="F314" t="inlineStr">
        <is>
          <t>24:00-08:00</t>
        </is>
      </c>
      <c r="G314" t="inlineStr">
        <is>
          <t>Rodel</t>
        </is>
      </c>
      <c r="H314" t="inlineStr">
        <is>
          <t>ELMORE</t>
        </is>
      </c>
      <c r="I314" t="n">
        <v>0.0234</v>
      </c>
      <c r="J314" t="n">
        <v>50114</v>
      </c>
    </row>
    <row r="315">
      <c r="A315" t="inlineStr">
        <is>
          <t>2026-09-23</t>
        </is>
      </c>
      <c r="B315" t="inlineStr">
        <is>
          <t>Wed</t>
        </is>
      </c>
      <c r="C315" t="inlineStr">
        <is>
          <t>Farming</t>
        </is>
      </c>
      <c r="D315" t="inlineStr">
        <is>
          <t>Ronaldo</t>
        </is>
      </c>
      <c r="E315" t="n">
        <v>1</v>
      </c>
      <c r="F315" t="inlineStr">
        <is>
          <t>09:00-16:00</t>
        </is>
      </c>
    </row>
    <row r="316">
      <c r="A316" t="inlineStr">
        <is>
          <t>2026-09-23</t>
        </is>
      </c>
      <c r="B316" t="inlineStr">
        <is>
          <t>Wed</t>
        </is>
      </c>
      <c r="C316" t="inlineStr">
        <is>
          <t>Farming</t>
        </is>
      </c>
      <c r="D316" t="inlineStr">
        <is>
          <t>Ronaldo</t>
        </is>
      </c>
      <c r="E316" t="n">
        <v>2</v>
      </c>
      <c r="F316" t="inlineStr">
        <is>
          <t>16:00-24:00</t>
        </is>
      </c>
      <c r="G316" t="inlineStr">
        <is>
          <t>Jefferson</t>
        </is>
      </c>
      <c r="H316" t="inlineStr">
        <is>
          <t>Ivory Tower 4~5</t>
        </is>
      </c>
    </row>
    <row r="317">
      <c r="A317" t="inlineStr">
        <is>
          <t>2026-09-23</t>
        </is>
      </c>
      <c r="B317" t="inlineStr">
        <is>
          <t>Wed</t>
        </is>
      </c>
      <c r="C317" t="inlineStr">
        <is>
          <t>Farming</t>
        </is>
      </c>
      <c r="D317" t="inlineStr">
        <is>
          <t>Ronaldo</t>
        </is>
      </c>
      <c r="E317" t="n">
        <v>3</v>
      </c>
      <c r="F317" t="inlineStr">
        <is>
          <t>24:00-08:00</t>
        </is>
      </c>
      <c r="G317" t="inlineStr">
        <is>
          <t>Joseph Racca</t>
        </is>
      </c>
      <c r="H317" t="inlineStr">
        <is>
          <t>Ivory flr4&amp;5</t>
        </is>
      </c>
      <c r="I317" t="n">
        <v>0.08</v>
      </c>
    </row>
    <row r="318">
      <c r="A318" t="inlineStr">
        <is>
          <t>2026-09-23</t>
        </is>
      </c>
      <c r="B318" t="inlineStr">
        <is>
          <t>Wed</t>
        </is>
      </c>
      <c r="C318" t="inlineStr">
        <is>
          <t>Farming</t>
        </is>
      </c>
      <c r="D318" t="inlineStr">
        <is>
          <t>Sarim</t>
        </is>
      </c>
      <c r="E318" t="n">
        <v>1</v>
      </c>
      <c r="F318" t="inlineStr">
        <is>
          <t>09:00-16:00</t>
        </is>
      </c>
    </row>
    <row r="319">
      <c r="A319" t="inlineStr">
        <is>
          <t>2026-09-23</t>
        </is>
      </c>
      <c r="B319" t="inlineStr">
        <is>
          <t>Wed</t>
        </is>
      </c>
      <c r="C319" t="inlineStr">
        <is>
          <t>Farming</t>
        </is>
      </c>
      <c r="D319" t="inlineStr">
        <is>
          <t>Sarim</t>
        </is>
      </c>
      <c r="E319" t="n">
        <v>2</v>
      </c>
      <c r="F319" t="inlineStr">
        <is>
          <t>16:00-24:00</t>
        </is>
      </c>
      <c r="H319" t="inlineStr">
        <is>
          <t>ELMORE &amp; DD</t>
        </is>
      </c>
    </row>
    <row r="320">
      <c r="A320" t="inlineStr">
        <is>
          <t>2026-09-23</t>
        </is>
      </c>
      <c r="B320" t="inlineStr">
        <is>
          <t>Wed</t>
        </is>
      </c>
      <c r="C320" t="inlineStr">
        <is>
          <t>Farming</t>
        </is>
      </c>
      <c r="D320" t="inlineStr">
        <is>
          <t>Sarim</t>
        </is>
      </c>
      <c r="E320" t="n">
        <v>3</v>
      </c>
      <c r="F320" t="inlineStr">
        <is>
          <t>24:00-08:00</t>
        </is>
      </c>
      <c r="G320" t="inlineStr">
        <is>
          <t>John Carlo</t>
        </is>
      </c>
      <c r="H320" t="inlineStr">
        <is>
          <t>Elmore</t>
        </is>
      </c>
      <c r="I320" t="n">
        <v>0.0125</v>
      </c>
      <c r="J320" t="n">
        <v>61675</v>
      </c>
    </row>
    <row r="321">
      <c r="A321" t="inlineStr">
        <is>
          <t>2026-09-23</t>
        </is>
      </c>
      <c r="B321" t="inlineStr">
        <is>
          <t>Wed</t>
        </is>
      </c>
      <c r="C321" t="inlineStr">
        <is>
          <t>Farming</t>
        </is>
      </c>
      <c r="D321" t="inlineStr">
        <is>
          <t>Sinsang</t>
        </is>
      </c>
      <c r="E321" t="n">
        <v>1</v>
      </c>
      <c r="F321" t="inlineStr">
        <is>
          <t>07:00-11:00</t>
        </is>
      </c>
      <c r="G321" t="inlineStr">
        <is>
          <t>TL-John</t>
        </is>
      </c>
      <c r="H321" t="inlineStr">
        <is>
          <t>Corrrupted Land</t>
        </is>
      </c>
      <c r="J321" t="n">
        <v>2.006</v>
      </c>
    </row>
    <row r="322">
      <c r="A322" t="inlineStr">
        <is>
          <t>2026-09-23</t>
        </is>
      </c>
      <c r="B322" t="inlineStr">
        <is>
          <t>Wed</t>
        </is>
      </c>
      <c r="C322" t="inlineStr">
        <is>
          <t>Farming</t>
        </is>
      </c>
      <c r="D322" t="inlineStr">
        <is>
          <t>Sudden</t>
        </is>
      </c>
      <c r="E322" t="n">
        <v>1</v>
      </c>
      <c r="F322" t="inlineStr">
        <is>
          <t>08:00-16:00</t>
        </is>
      </c>
    </row>
    <row r="323">
      <c r="A323" t="inlineStr">
        <is>
          <t>2026-09-23</t>
        </is>
      </c>
      <c r="B323" t="inlineStr">
        <is>
          <t>Wed</t>
        </is>
      </c>
      <c r="C323" t="inlineStr">
        <is>
          <t>Farming</t>
        </is>
      </c>
      <c r="D323" t="inlineStr">
        <is>
          <t>Sudden</t>
        </is>
      </c>
      <c r="E323" t="n">
        <v>2</v>
      </c>
      <c r="F323" t="inlineStr">
        <is>
          <t>16:00-24:00</t>
        </is>
      </c>
      <c r="H323" t="inlineStr">
        <is>
          <t>ELMORE &amp; DD</t>
        </is>
      </c>
    </row>
    <row r="324">
      <c r="A324" t="inlineStr">
        <is>
          <t>2026-09-23</t>
        </is>
      </c>
      <c r="B324" t="inlineStr">
        <is>
          <t>Wed</t>
        </is>
      </c>
      <c r="C324" t="inlineStr">
        <is>
          <t>Farming</t>
        </is>
      </c>
      <c r="D324" t="inlineStr">
        <is>
          <t>Sudden</t>
        </is>
      </c>
      <c r="E324" t="n">
        <v>3</v>
      </c>
      <c r="F324" t="inlineStr">
        <is>
          <t>24:00-08:00</t>
        </is>
      </c>
      <c r="G324" t="inlineStr">
        <is>
          <t>Ehder Lhen</t>
        </is>
      </c>
      <c r="H324" t="inlineStr">
        <is>
          <t>Elmore</t>
        </is>
      </c>
      <c r="I324" t="n">
        <v>0.1152</v>
      </c>
    </row>
    <row r="325">
      <c r="A325" t="inlineStr">
        <is>
          <t>2026-09-23</t>
        </is>
      </c>
      <c r="B325" t="inlineStr">
        <is>
          <t>Wed</t>
        </is>
      </c>
      <c r="C325" t="inlineStr">
        <is>
          <t>Farming</t>
        </is>
      </c>
      <c r="D325" t="inlineStr">
        <is>
          <t>Sunsang</t>
        </is>
      </c>
      <c r="E325" t="n">
        <v>1</v>
      </c>
      <c r="F325" t="inlineStr">
        <is>
          <t>OFF</t>
        </is>
      </c>
    </row>
    <row r="326">
      <c r="A326" t="inlineStr">
        <is>
          <t>2026-09-23</t>
        </is>
      </c>
      <c r="B326" t="inlineStr">
        <is>
          <t>Wed</t>
        </is>
      </c>
      <c r="C326" t="inlineStr">
        <is>
          <t>Farming</t>
        </is>
      </c>
      <c r="D326" t="inlineStr">
        <is>
          <t>Sunsang</t>
        </is>
      </c>
      <c r="E326" t="n">
        <v>2</v>
      </c>
      <c r="F326" t="inlineStr">
        <is>
          <t>24:00-08:00</t>
        </is>
      </c>
    </row>
    <row r="327">
      <c r="A327" t="inlineStr">
        <is>
          <t>2026-09-23</t>
        </is>
      </c>
      <c r="B327" t="inlineStr">
        <is>
          <t>Wed</t>
        </is>
      </c>
      <c r="C327" t="inlineStr">
        <is>
          <t>Farming</t>
        </is>
      </c>
      <c r="D327" t="inlineStr">
        <is>
          <t>Taejo</t>
        </is>
      </c>
      <c r="E327" t="n">
        <v>1</v>
      </c>
      <c r="F327" t="inlineStr">
        <is>
          <t>09:00-16:00</t>
        </is>
      </c>
    </row>
    <row r="328">
      <c r="A328" t="inlineStr">
        <is>
          <t>2026-09-23</t>
        </is>
      </c>
      <c r="B328" t="inlineStr">
        <is>
          <t>Wed</t>
        </is>
      </c>
      <c r="C328" t="inlineStr">
        <is>
          <t>Farming</t>
        </is>
      </c>
      <c r="D328" t="inlineStr">
        <is>
          <t>Taejo</t>
        </is>
      </c>
      <c r="E328" t="n">
        <v>2</v>
      </c>
      <c r="F328" t="inlineStr">
        <is>
          <t>16:00-24:00</t>
        </is>
      </c>
      <c r="G328" t="inlineStr">
        <is>
          <t>Jel Rick</t>
        </is>
      </c>
      <c r="H328" t="inlineStr">
        <is>
          <t>ELMORE &amp; DD</t>
        </is>
      </c>
    </row>
    <row r="329">
      <c r="A329" t="inlineStr">
        <is>
          <t>2026-09-23</t>
        </is>
      </c>
      <c r="B329" t="inlineStr">
        <is>
          <t>Wed</t>
        </is>
      </c>
      <c r="C329" t="inlineStr">
        <is>
          <t>Farming</t>
        </is>
      </c>
      <c r="D329" t="inlineStr">
        <is>
          <t>Taejo</t>
        </is>
      </c>
      <c r="E329" t="n">
        <v>3</v>
      </c>
      <c r="F329" t="inlineStr">
        <is>
          <t>24:00-08:00</t>
        </is>
      </c>
      <c r="G329" t="inlineStr">
        <is>
          <t>Lemark</t>
        </is>
      </c>
      <c r="H329" t="inlineStr">
        <is>
          <t>Elmore</t>
        </is>
      </c>
      <c r="I329" t="n">
        <v>0.0209</v>
      </c>
      <c r="J329" t="n">
        <v>64781</v>
      </c>
    </row>
    <row r="330">
      <c r="A330" t="inlineStr">
        <is>
          <t>2026-09-24</t>
        </is>
      </c>
      <c r="B330" t="inlineStr">
        <is>
          <t>Thu</t>
        </is>
      </c>
      <c r="C330" t="inlineStr">
        <is>
          <t>Client</t>
        </is>
      </c>
      <c r="D330" t="inlineStr">
        <is>
          <t>ADA</t>
        </is>
      </c>
      <c r="E330" t="n">
        <v>1</v>
      </c>
      <c r="F330" t="inlineStr">
        <is>
          <t>09:00-17:00</t>
        </is>
      </c>
      <c r="G330" t="inlineStr">
        <is>
          <t>Kim Carl</t>
        </is>
      </c>
    </row>
    <row r="331">
      <c r="A331" t="inlineStr">
        <is>
          <t>2026-09-24</t>
        </is>
      </c>
      <c r="B331" t="inlineStr">
        <is>
          <t>Thu</t>
        </is>
      </c>
      <c r="C331" t="inlineStr">
        <is>
          <t>Client</t>
        </is>
      </c>
      <c r="D331" t="inlineStr">
        <is>
          <t>ADA</t>
        </is>
      </c>
      <c r="E331" t="n">
        <v>2</v>
      </c>
      <c r="F331" t="inlineStr">
        <is>
          <t>OFF</t>
        </is>
      </c>
    </row>
    <row r="332">
      <c r="A332" t="inlineStr">
        <is>
          <t>2026-09-24</t>
        </is>
      </c>
      <c r="B332" t="inlineStr">
        <is>
          <t>Thu</t>
        </is>
      </c>
      <c r="C332" t="inlineStr">
        <is>
          <t>Client</t>
        </is>
      </c>
      <c r="D332" t="inlineStr">
        <is>
          <t>Alex</t>
        </is>
      </c>
      <c r="E332" t="n">
        <v>1</v>
      </c>
      <c r="F332" t="inlineStr">
        <is>
          <t>08:00-16:00</t>
        </is>
      </c>
      <c r="H332" t="inlineStr">
        <is>
          <t>Ivory Tower 4~5</t>
        </is>
      </c>
    </row>
    <row r="333">
      <c r="A333" t="inlineStr">
        <is>
          <t>2026-09-24</t>
        </is>
      </c>
      <c r="B333" t="inlineStr">
        <is>
          <t>Thu</t>
        </is>
      </c>
      <c r="C333" t="inlineStr">
        <is>
          <t>Client</t>
        </is>
      </c>
      <c r="D333" t="inlineStr">
        <is>
          <t>Alex</t>
        </is>
      </c>
      <c r="E333" t="n">
        <v>2</v>
      </c>
      <c r="F333" t="inlineStr">
        <is>
          <t>16:00-24:00</t>
        </is>
      </c>
      <c r="H333" t="inlineStr">
        <is>
          <t>Ivory Tower 6~7</t>
        </is>
      </c>
    </row>
    <row r="334">
      <c r="A334" t="inlineStr">
        <is>
          <t>2026-09-24</t>
        </is>
      </c>
      <c r="B334" t="inlineStr">
        <is>
          <t>Thu</t>
        </is>
      </c>
      <c r="C334" t="inlineStr">
        <is>
          <t>Client</t>
        </is>
      </c>
      <c r="D334" t="inlineStr">
        <is>
          <t>Alex</t>
        </is>
      </c>
      <c r="E334" t="n">
        <v>3</v>
      </c>
      <c r="F334" t="inlineStr">
        <is>
          <t>24:00-08:00</t>
        </is>
      </c>
      <c r="H334" t="inlineStr">
        <is>
          <t>Island of dreams</t>
        </is>
      </c>
    </row>
    <row r="335">
      <c r="A335" t="inlineStr">
        <is>
          <t>2026-09-24</t>
        </is>
      </c>
      <c r="B335" t="inlineStr">
        <is>
          <t>Thu</t>
        </is>
      </c>
      <c r="C335" t="inlineStr">
        <is>
          <t>Client</t>
        </is>
      </c>
      <c r="D335" t="inlineStr">
        <is>
          <t>Beongaebul</t>
        </is>
      </c>
      <c r="E335" t="n">
        <v>1</v>
      </c>
      <c r="F335" t="inlineStr">
        <is>
          <t>01:00-09:00</t>
        </is>
      </c>
      <c r="G335" t="inlineStr">
        <is>
          <t>Raymond</t>
        </is>
      </c>
    </row>
    <row r="336">
      <c r="A336" t="inlineStr">
        <is>
          <t>2026-09-24</t>
        </is>
      </c>
      <c r="B336" t="inlineStr">
        <is>
          <t>Thu</t>
        </is>
      </c>
      <c r="C336" t="inlineStr">
        <is>
          <t>Client</t>
        </is>
      </c>
      <c r="D336" t="inlineStr">
        <is>
          <t>Captain</t>
        </is>
      </c>
      <c r="E336" t="n">
        <v>1</v>
      </c>
      <c r="F336" t="inlineStr">
        <is>
          <t>OFF</t>
        </is>
      </c>
    </row>
    <row r="337">
      <c r="A337" t="inlineStr">
        <is>
          <t>2026-09-24</t>
        </is>
      </c>
      <c r="B337" t="inlineStr">
        <is>
          <t>Thu</t>
        </is>
      </c>
      <c r="C337" t="inlineStr">
        <is>
          <t>Client</t>
        </is>
      </c>
      <c r="D337" t="inlineStr">
        <is>
          <t>Captain</t>
        </is>
      </c>
      <c r="E337" t="n">
        <v>2</v>
      </c>
      <c r="F337" t="inlineStr">
        <is>
          <t>OFF</t>
        </is>
      </c>
    </row>
    <row r="338">
      <c r="A338" t="inlineStr">
        <is>
          <t>2026-09-24</t>
        </is>
      </c>
      <c r="B338" t="inlineStr">
        <is>
          <t>Thu</t>
        </is>
      </c>
      <c r="C338" t="inlineStr">
        <is>
          <t>Client</t>
        </is>
      </c>
      <c r="D338" t="inlineStr">
        <is>
          <t>Dalo</t>
        </is>
      </c>
      <c r="E338" t="n">
        <v>1</v>
      </c>
      <c r="F338" t="inlineStr">
        <is>
          <t>OFF</t>
        </is>
      </c>
    </row>
    <row r="339">
      <c r="A339" t="inlineStr">
        <is>
          <t>2026-09-24</t>
        </is>
      </c>
      <c r="B339" t="inlineStr">
        <is>
          <t>Thu</t>
        </is>
      </c>
      <c r="C339" t="inlineStr">
        <is>
          <t>Client</t>
        </is>
      </c>
      <c r="D339" t="inlineStr">
        <is>
          <t>Dalo</t>
        </is>
      </c>
      <c r="E339" t="n">
        <v>2</v>
      </c>
      <c r="F339" t="inlineStr">
        <is>
          <t>OFF</t>
        </is>
      </c>
    </row>
    <row r="340">
      <c r="A340" t="inlineStr">
        <is>
          <t>2026-09-24</t>
        </is>
      </c>
      <c r="B340" t="inlineStr">
        <is>
          <t>Thu</t>
        </is>
      </c>
      <c r="C340" t="inlineStr">
        <is>
          <t>Client</t>
        </is>
      </c>
      <c r="D340" t="inlineStr">
        <is>
          <t>Dalo</t>
        </is>
      </c>
      <c r="E340" t="n">
        <v>3</v>
      </c>
      <c r="F340" t="inlineStr">
        <is>
          <t>OFF</t>
        </is>
      </c>
    </row>
    <row r="341">
      <c r="A341" t="inlineStr">
        <is>
          <t>2026-09-24</t>
        </is>
      </c>
      <c r="B341" t="inlineStr">
        <is>
          <t>Thu</t>
        </is>
      </c>
      <c r="C341" t="inlineStr">
        <is>
          <t>Client</t>
        </is>
      </c>
      <c r="D341" t="inlineStr">
        <is>
          <t>Dodam</t>
        </is>
      </c>
      <c r="E341" t="n">
        <v>1</v>
      </c>
      <c r="F341" t="inlineStr">
        <is>
          <t>23:00-11:00</t>
        </is>
      </c>
      <c r="G341" t="inlineStr">
        <is>
          <t>Cath Valdez</t>
        </is>
      </c>
      <c r="H341" t="inlineStr">
        <is>
          <t>Island of Dreams</t>
        </is>
      </c>
    </row>
    <row r="342">
      <c r="A342" t="inlineStr">
        <is>
          <t>2026-09-24</t>
        </is>
      </c>
      <c r="B342" t="inlineStr">
        <is>
          <t>Thu</t>
        </is>
      </c>
      <c r="C342" t="inlineStr">
        <is>
          <t>Client</t>
        </is>
      </c>
      <c r="D342" t="inlineStr">
        <is>
          <t>Dodam</t>
        </is>
      </c>
      <c r="E342" t="n">
        <v>2</v>
      </c>
      <c r="F342" t="inlineStr">
        <is>
          <t>07:00-19:00</t>
        </is>
      </c>
    </row>
    <row r="343">
      <c r="A343" t="inlineStr">
        <is>
          <t>2026-09-24</t>
        </is>
      </c>
      <c r="B343" t="inlineStr">
        <is>
          <t>Thu</t>
        </is>
      </c>
      <c r="C343" t="inlineStr">
        <is>
          <t>Client</t>
        </is>
      </c>
      <c r="D343" t="inlineStr">
        <is>
          <t>Dol</t>
        </is>
      </c>
      <c r="E343" t="n">
        <v>1</v>
      </c>
      <c r="F343" t="inlineStr">
        <is>
          <t>24:00-08:00</t>
        </is>
      </c>
      <c r="G343" t="inlineStr">
        <is>
          <t>Smartley</t>
        </is>
      </c>
      <c r="H343" t="inlineStr">
        <is>
          <t>Dragon Valley</t>
        </is>
      </c>
    </row>
    <row r="344">
      <c r="A344" t="inlineStr">
        <is>
          <t>2026-09-24</t>
        </is>
      </c>
      <c r="B344" t="inlineStr">
        <is>
          <t>Thu</t>
        </is>
      </c>
      <c r="C344" t="inlineStr">
        <is>
          <t>Client</t>
        </is>
      </c>
      <c r="D344" t="inlineStr">
        <is>
          <t>Dol</t>
        </is>
      </c>
      <c r="E344" t="n">
        <v>2</v>
      </c>
      <c r="F344" t="inlineStr">
        <is>
          <t>OFF</t>
        </is>
      </c>
    </row>
    <row r="345">
      <c r="A345" t="inlineStr">
        <is>
          <t>2026-09-24</t>
        </is>
      </c>
      <c r="B345" t="inlineStr">
        <is>
          <t>Thu</t>
        </is>
      </c>
      <c r="C345" t="inlineStr">
        <is>
          <t>Client</t>
        </is>
      </c>
      <c r="D345" t="inlineStr">
        <is>
          <t>Doma</t>
        </is>
      </c>
      <c r="E345" t="n">
        <v>1</v>
      </c>
      <c r="F345" t="inlineStr">
        <is>
          <t>OFF</t>
        </is>
      </c>
    </row>
    <row r="346">
      <c r="A346" t="inlineStr">
        <is>
          <t>2026-09-24</t>
        </is>
      </c>
      <c r="B346" t="inlineStr">
        <is>
          <t>Thu</t>
        </is>
      </c>
      <c r="C346" t="inlineStr">
        <is>
          <t>Client</t>
        </is>
      </c>
      <c r="D346" t="inlineStr">
        <is>
          <t>Doma</t>
        </is>
      </c>
      <c r="E346" t="n">
        <v>2</v>
      </c>
      <c r="F346" t="inlineStr">
        <is>
          <t>23:00-07:00</t>
        </is>
      </c>
      <c r="G346" t="inlineStr">
        <is>
          <t>Joseph Racca</t>
        </is>
      </c>
      <c r="H346" t="inlineStr">
        <is>
          <t>Ivory Tower</t>
        </is>
      </c>
    </row>
    <row r="347">
      <c r="A347" t="inlineStr">
        <is>
          <t>2026-09-24</t>
        </is>
      </c>
      <c r="B347" t="inlineStr">
        <is>
          <t>Thu</t>
        </is>
      </c>
      <c r="C347" t="inlineStr">
        <is>
          <t>Client</t>
        </is>
      </c>
      <c r="D347" t="inlineStr">
        <is>
          <t>Duga</t>
        </is>
      </c>
      <c r="E347" t="n">
        <v>1</v>
      </c>
      <c r="F347" t="inlineStr">
        <is>
          <t>07:00-15:00</t>
        </is>
      </c>
      <c r="G347" t="inlineStr">
        <is>
          <t>Patrick Rivera</t>
        </is>
      </c>
      <c r="H347" t="inlineStr">
        <is>
          <t>Oman/ Ivory Tower</t>
        </is>
      </c>
    </row>
    <row r="348">
      <c r="A348" t="inlineStr">
        <is>
          <t>2026-09-24</t>
        </is>
      </c>
      <c r="B348" t="inlineStr">
        <is>
          <t>Thu</t>
        </is>
      </c>
      <c r="C348" t="inlineStr">
        <is>
          <t>Client</t>
        </is>
      </c>
      <c r="D348" t="inlineStr">
        <is>
          <t>Elf</t>
        </is>
      </c>
      <c r="E348" t="n">
        <v>1</v>
      </c>
      <c r="F348" t="inlineStr">
        <is>
          <t>OFF</t>
        </is>
      </c>
    </row>
    <row r="349">
      <c r="A349" t="inlineStr">
        <is>
          <t>2026-09-24</t>
        </is>
      </c>
      <c r="B349" t="inlineStr">
        <is>
          <t>Thu</t>
        </is>
      </c>
      <c r="C349" t="inlineStr">
        <is>
          <t>Client</t>
        </is>
      </c>
      <c r="D349" t="inlineStr">
        <is>
          <t>Geonbae</t>
        </is>
      </c>
      <c r="E349" t="n">
        <v>1</v>
      </c>
      <c r="F349" t="inlineStr">
        <is>
          <t>OFF</t>
        </is>
      </c>
    </row>
    <row r="350">
      <c r="A350" t="inlineStr">
        <is>
          <t>2026-09-24</t>
        </is>
      </c>
      <c r="B350" t="inlineStr">
        <is>
          <t>Thu</t>
        </is>
      </c>
      <c r="C350" t="inlineStr">
        <is>
          <t>Client</t>
        </is>
      </c>
      <c r="D350" t="inlineStr">
        <is>
          <t>Geonbae</t>
        </is>
      </c>
      <c r="E350" t="n">
        <v>2</v>
      </c>
      <c r="F350" t="inlineStr">
        <is>
          <t>23:00-07:00</t>
        </is>
      </c>
      <c r="G350" t="inlineStr">
        <is>
          <t>Jheco</t>
        </is>
      </c>
      <c r="H350" t="inlineStr">
        <is>
          <t>Ivory Tower</t>
        </is>
      </c>
    </row>
    <row r="351">
      <c r="A351" t="inlineStr">
        <is>
          <t>2026-09-24</t>
        </is>
      </c>
      <c r="B351" t="inlineStr">
        <is>
          <t>Thu</t>
        </is>
      </c>
      <c r="C351" t="inlineStr">
        <is>
          <t>Client</t>
        </is>
      </c>
      <c r="D351" t="inlineStr">
        <is>
          <t>Goop</t>
        </is>
      </c>
      <c r="E351" t="n">
        <v>1</v>
      </c>
      <c r="F351" t="inlineStr">
        <is>
          <t>OFF</t>
        </is>
      </c>
    </row>
    <row r="352">
      <c r="A352" t="inlineStr">
        <is>
          <t>2026-09-24</t>
        </is>
      </c>
      <c r="B352" t="inlineStr">
        <is>
          <t>Thu</t>
        </is>
      </c>
      <c r="C352" t="inlineStr">
        <is>
          <t>Client</t>
        </is>
      </c>
      <c r="D352" t="inlineStr">
        <is>
          <t>Heon</t>
        </is>
      </c>
      <c r="E352" t="n">
        <v>1</v>
      </c>
      <c r="F352" t="inlineStr">
        <is>
          <t>OFF</t>
        </is>
      </c>
      <c r="H352" t="inlineStr">
        <is>
          <t>Abandoned Land (Abyss) 6
ivory tower 2</t>
        </is>
      </c>
      <c r="K352" t="inlineStr">
        <is>
          <t>E-Potion O</t>
        </is>
      </c>
      <c r="L352" t="inlineStr">
        <is>
          <t>555 buff</t>
        </is>
      </c>
      <c r="M352" t="inlineStr">
        <is>
          <t>Shield, Armour O</t>
        </is>
      </c>
    </row>
    <row r="353">
      <c r="A353" t="inlineStr">
        <is>
          <t>2026-09-24</t>
        </is>
      </c>
      <c r="B353" t="inlineStr">
        <is>
          <t>Thu</t>
        </is>
      </c>
      <c r="C353" t="inlineStr">
        <is>
          <t>Client</t>
        </is>
      </c>
      <c r="D353" t="inlineStr">
        <is>
          <t>Jjuni</t>
        </is>
      </c>
      <c r="E353" t="n">
        <v>1</v>
      </c>
      <c r="F353" t="inlineStr">
        <is>
          <t>13:00-21:00</t>
        </is>
      </c>
    </row>
    <row r="354">
      <c r="A354" t="inlineStr">
        <is>
          <t>2026-09-24</t>
        </is>
      </c>
      <c r="B354" t="inlineStr">
        <is>
          <t>Thu</t>
        </is>
      </c>
      <c r="C354" t="inlineStr">
        <is>
          <t>Client</t>
        </is>
      </c>
      <c r="D354" t="inlineStr">
        <is>
          <t>Jjuni</t>
        </is>
      </c>
      <c r="E354" t="n">
        <v>2</v>
      </c>
      <c r="F354" t="inlineStr">
        <is>
          <t>OFF</t>
        </is>
      </c>
    </row>
    <row r="355">
      <c r="A355" t="inlineStr">
        <is>
          <t>2026-09-24</t>
        </is>
      </c>
      <c r="B355" t="inlineStr">
        <is>
          <t>Thu</t>
        </is>
      </c>
      <c r="C355" t="inlineStr">
        <is>
          <t>Client</t>
        </is>
      </c>
      <c r="D355" t="inlineStr">
        <is>
          <t>Jjuni</t>
        </is>
      </c>
      <c r="E355" t="n">
        <v>3</v>
      </c>
      <c r="F355" t="inlineStr">
        <is>
          <t>OFF</t>
        </is>
      </c>
      <c r="H355" t="inlineStr">
        <is>
          <t>Ivory Tower</t>
        </is>
      </c>
    </row>
    <row r="356">
      <c r="A356" t="inlineStr">
        <is>
          <t>2026-09-24</t>
        </is>
      </c>
      <c r="B356" t="inlineStr">
        <is>
          <t>Thu</t>
        </is>
      </c>
      <c r="C356" t="inlineStr">
        <is>
          <t>Client</t>
        </is>
      </c>
      <c r="D356" t="inlineStr">
        <is>
          <t>Jo</t>
        </is>
      </c>
      <c r="E356" t="n">
        <v>1</v>
      </c>
      <c r="F356" t="inlineStr">
        <is>
          <t>OFF</t>
        </is>
      </c>
    </row>
    <row r="357">
      <c r="A357" t="inlineStr">
        <is>
          <t>2026-09-24</t>
        </is>
      </c>
      <c r="B357" t="inlineStr">
        <is>
          <t>Thu</t>
        </is>
      </c>
      <c r="C357" t="inlineStr">
        <is>
          <t>Client</t>
        </is>
      </c>
      <c r="D357" t="inlineStr">
        <is>
          <t>Lammy Queen</t>
        </is>
      </c>
      <c r="E357" t="n">
        <v>1</v>
      </c>
      <c r="F357" t="inlineStr">
        <is>
          <t>OFF</t>
        </is>
      </c>
    </row>
    <row r="358">
      <c r="A358" t="inlineStr">
        <is>
          <t>2026-09-24</t>
        </is>
      </c>
      <c r="B358" t="inlineStr">
        <is>
          <t>Thu</t>
        </is>
      </c>
      <c r="C358" t="inlineStr">
        <is>
          <t>Client</t>
        </is>
      </c>
      <c r="D358" t="inlineStr">
        <is>
          <t>Lammy Queen</t>
        </is>
      </c>
      <c r="E358" t="n">
        <v>2</v>
      </c>
      <c r="F358" t="inlineStr">
        <is>
          <t>01:00-09:00</t>
        </is>
      </c>
      <c r="G358" t="inlineStr">
        <is>
          <t>Rhuzsel</t>
        </is>
      </c>
      <c r="H358" t="inlineStr">
        <is>
          <t>Abandon Land</t>
        </is>
      </c>
    </row>
    <row r="359">
      <c r="A359" t="inlineStr">
        <is>
          <t>2026-09-24</t>
        </is>
      </c>
      <c r="B359" t="inlineStr">
        <is>
          <t>Thu</t>
        </is>
      </c>
      <c r="C359" t="inlineStr">
        <is>
          <t>Client</t>
        </is>
      </c>
      <c r="D359" t="inlineStr">
        <is>
          <t>Lolly</t>
        </is>
      </c>
      <c r="E359" t="n">
        <v>1</v>
      </c>
      <c r="F359" t="inlineStr">
        <is>
          <t>06:00-16:00</t>
        </is>
      </c>
      <c r="G359" t="inlineStr">
        <is>
          <t>Mitchell</t>
        </is>
      </c>
      <c r="H359" t="inlineStr">
        <is>
          <t>abandoned land 3
a land of corruption5</t>
        </is>
      </c>
      <c r="K359" t="inlineStr">
        <is>
          <t>E-Potion O</t>
        </is>
      </c>
      <c r="L359" t="inlineStr">
        <is>
          <t>555 buff</t>
        </is>
      </c>
      <c r="M359" t="inlineStr">
        <is>
          <t>Shield, Armour O</t>
        </is>
      </c>
    </row>
    <row r="360">
      <c r="A360" t="inlineStr">
        <is>
          <t>2026-09-24</t>
        </is>
      </c>
      <c r="B360" t="inlineStr">
        <is>
          <t>Thu</t>
        </is>
      </c>
      <c r="C360" t="inlineStr">
        <is>
          <t>Client</t>
        </is>
      </c>
      <c r="D360" t="inlineStr">
        <is>
          <t>Mukkbo</t>
        </is>
      </c>
      <c r="E360" t="n">
        <v>1</v>
      </c>
      <c r="F360" t="inlineStr">
        <is>
          <t>OFF</t>
        </is>
      </c>
    </row>
    <row r="361">
      <c r="A361" t="inlineStr">
        <is>
          <t>2026-09-24</t>
        </is>
      </c>
      <c r="B361" t="inlineStr">
        <is>
          <t>Thu</t>
        </is>
      </c>
      <c r="C361" t="inlineStr">
        <is>
          <t>Client</t>
        </is>
      </c>
      <c r="D361" t="inlineStr">
        <is>
          <t>Mukkbo</t>
        </is>
      </c>
      <c r="E361" t="n">
        <v>2</v>
      </c>
      <c r="F361" t="inlineStr">
        <is>
          <t>OFF</t>
        </is>
      </c>
    </row>
    <row r="362">
      <c r="A362" t="inlineStr">
        <is>
          <t>2026-09-24</t>
        </is>
      </c>
      <c r="B362" t="inlineStr">
        <is>
          <t>Thu</t>
        </is>
      </c>
      <c r="C362" t="inlineStr">
        <is>
          <t>Client</t>
        </is>
      </c>
      <c r="D362" t="inlineStr">
        <is>
          <t>Munjin</t>
        </is>
      </c>
      <c r="E362" t="n">
        <v>1</v>
      </c>
      <c r="F362" t="inlineStr">
        <is>
          <t>OFF</t>
        </is>
      </c>
    </row>
    <row r="363">
      <c r="A363" t="inlineStr">
        <is>
          <t>2026-09-24</t>
        </is>
      </c>
      <c r="B363" t="inlineStr">
        <is>
          <t>Thu</t>
        </is>
      </c>
      <c r="C363" t="inlineStr">
        <is>
          <t>Client</t>
        </is>
      </c>
      <c r="D363" t="inlineStr">
        <is>
          <t>Neburegi</t>
        </is>
      </c>
      <c r="E363" t="n">
        <v>1</v>
      </c>
      <c r="F363" t="inlineStr">
        <is>
          <t>OFF</t>
        </is>
      </c>
    </row>
    <row r="364">
      <c r="A364" t="inlineStr">
        <is>
          <t>2026-09-24</t>
        </is>
      </c>
      <c r="B364" t="inlineStr">
        <is>
          <t>Thu</t>
        </is>
      </c>
      <c r="C364" t="inlineStr">
        <is>
          <t>Client</t>
        </is>
      </c>
      <c r="D364" t="inlineStr">
        <is>
          <t>Olleh</t>
        </is>
      </c>
      <c r="E364" t="n">
        <v>1</v>
      </c>
      <c r="F364" t="inlineStr">
        <is>
          <t>OFF</t>
        </is>
      </c>
    </row>
    <row r="365">
      <c r="A365" t="inlineStr">
        <is>
          <t>2026-09-24</t>
        </is>
      </c>
      <c r="B365" t="inlineStr">
        <is>
          <t>Thu</t>
        </is>
      </c>
      <c r="C365" t="inlineStr">
        <is>
          <t>Client</t>
        </is>
      </c>
      <c r="D365" t="inlineStr">
        <is>
          <t>Olleh</t>
        </is>
      </c>
      <c r="E365" t="n">
        <v>2</v>
      </c>
      <c r="F365" t="inlineStr">
        <is>
          <t>23:00-11:00</t>
        </is>
      </c>
      <c r="G365" t="inlineStr">
        <is>
          <t>JM Racca</t>
        </is>
      </c>
      <c r="H365" t="inlineStr">
        <is>
          <t>Ivory Tower</t>
        </is>
      </c>
    </row>
    <row r="366">
      <c r="A366" t="inlineStr">
        <is>
          <t>2026-09-24</t>
        </is>
      </c>
      <c r="B366" t="inlineStr">
        <is>
          <t>Thu</t>
        </is>
      </c>
      <c r="C366" t="inlineStr">
        <is>
          <t>Client</t>
        </is>
      </c>
      <c r="D366" t="inlineStr">
        <is>
          <t>Perez</t>
        </is>
      </c>
      <c r="E366" t="n">
        <v>1</v>
      </c>
      <c r="F366" t="inlineStr">
        <is>
          <t>08:00-16:00</t>
        </is>
      </c>
      <c r="G366" t="inlineStr">
        <is>
          <t>Samantha</t>
        </is>
      </c>
    </row>
    <row r="367">
      <c r="A367" t="inlineStr">
        <is>
          <t>2026-09-24</t>
        </is>
      </c>
      <c r="B367" t="inlineStr">
        <is>
          <t>Thu</t>
        </is>
      </c>
      <c r="C367" t="inlineStr">
        <is>
          <t>Client</t>
        </is>
      </c>
      <c r="D367" t="inlineStr">
        <is>
          <t>Perez</t>
        </is>
      </c>
      <c r="E367" t="n">
        <v>2</v>
      </c>
      <c r="F367" t="inlineStr">
        <is>
          <t>13:00-21:00</t>
        </is>
      </c>
      <c r="G367" t="inlineStr">
        <is>
          <t>Angelo Diocales</t>
        </is>
      </c>
      <c r="H367" t="inlineStr">
        <is>
          <t>LAND OF FALLEN / SPATOY</t>
        </is>
      </c>
    </row>
    <row r="368">
      <c r="A368" t="inlineStr">
        <is>
          <t>2026-09-24</t>
        </is>
      </c>
      <c r="B368" t="inlineStr">
        <is>
          <t>Thu</t>
        </is>
      </c>
      <c r="C368" t="inlineStr">
        <is>
          <t>Client</t>
        </is>
      </c>
      <c r="D368" t="inlineStr">
        <is>
          <t>Perez</t>
        </is>
      </c>
      <c r="E368" t="n">
        <v>3</v>
      </c>
      <c r="F368" t="inlineStr">
        <is>
          <t>21:00-05:00</t>
        </is>
      </c>
      <c r="G368" t="inlineStr">
        <is>
          <t>Zenron</t>
        </is>
      </c>
      <c r="H368" t="inlineStr">
        <is>
          <t>Abandon Land</t>
        </is>
      </c>
    </row>
    <row r="369">
      <c r="A369" t="inlineStr">
        <is>
          <t>2026-09-24</t>
        </is>
      </c>
      <c r="B369" t="inlineStr">
        <is>
          <t>Thu</t>
        </is>
      </c>
      <c r="C369" t="inlineStr">
        <is>
          <t>Client</t>
        </is>
      </c>
      <c r="D369" t="inlineStr">
        <is>
          <t>Power20</t>
        </is>
      </c>
      <c r="E369" t="n">
        <v>1</v>
      </c>
      <c r="F369" t="inlineStr">
        <is>
          <t>10:00-18:00</t>
        </is>
      </c>
    </row>
    <row r="370">
      <c r="A370" t="inlineStr">
        <is>
          <t>2026-09-24</t>
        </is>
      </c>
      <c r="B370" t="inlineStr">
        <is>
          <t>Thu</t>
        </is>
      </c>
      <c r="C370" t="inlineStr">
        <is>
          <t>Client</t>
        </is>
      </c>
      <c r="D370" t="inlineStr">
        <is>
          <t>Power20</t>
        </is>
      </c>
      <c r="E370" t="n">
        <v>2</v>
      </c>
      <c r="F370" t="inlineStr">
        <is>
          <t>OFF</t>
        </is>
      </c>
    </row>
    <row r="371">
      <c r="A371" t="inlineStr">
        <is>
          <t>2026-09-24</t>
        </is>
      </c>
      <c r="B371" t="inlineStr">
        <is>
          <t>Thu</t>
        </is>
      </c>
      <c r="C371" t="inlineStr">
        <is>
          <t>Client</t>
        </is>
      </c>
      <c r="D371" t="inlineStr">
        <is>
          <t>Power20</t>
        </is>
      </c>
      <c r="E371" t="n">
        <v>3</v>
      </c>
      <c r="F371" t="inlineStr">
        <is>
          <t>02:00-10:00</t>
        </is>
      </c>
      <c r="G371" t="inlineStr">
        <is>
          <t>Roderick</t>
        </is>
      </c>
      <c r="H371" t="inlineStr">
        <is>
          <t>Ivory Tower</t>
        </is>
      </c>
    </row>
    <row r="372">
      <c r="A372" t="inlineStr">
        <is>
          <t>2026-09-24</t>
        </is>
      </c>
      <c r="B372" t="inlineStr">
        <is>
          <t>Thu</t>
        </is>
      </c>
      <c r="C372" t="inlineStr">
        <is>
          <t>Client</t>
        </is>
      </c>
      <c r="D372" t="inlineStr">
        <is>
          <t>Real Madrid</t>
        </is>
      </c>
      <c r="E372" t="n">
        <v>1</v>
      </c>
      <c r="F372" t="inlineStr">
        <is>
          <t>24:00-08:00</t>
        </is>
      </c>
      <c r="G372" t="inlineStr">
        <is>
          <t>Mark Valdez</t>
        </is>
      </c>
      <c r="H372" t="inlineStr">
        <is>
          <t>Ivory Tower</t>
        </is>
      </c>
    </row>
    <row r="373">
      <c r="A373" t="inlineStr">
        <is>
          <t>2026-09-24</t>
        </is>
      </c>
      <c r="B373" t="inlineStr">
        <is>
          <t>Thu</t>
        </is>
      </c>
      <c r="C373" t="inlineStr">
        <is>
          <t>Client</t>
        </is>
      </c>
      <c r="D373" t="inlineStr">
        <is>
          <t>Real Madrid</t>
        </is>
      </c>
      <c r="E373" t="n">
        <v>2</v>
      </c>
      <c r="F373" t="inlineStr">
        <is>
          <t>OFF</t>
        </is>
      </c>
      <c r="H373" t="inlineStr">
        <is>
          <t>Ivory Tower</t>
        </is>
      </c>
    </row>
    <row r="374">
      <c r="A374" t="inlineStr">
        <is>
          <t>2026-09-24</t>
        </is>
      </c>
      <c r="B374" t="inlineStr">
        <is>
          <t>Thu</t>
        </is>
      </c>
      <c r="C374" t="inlineStr">
        <is>
          <t>Client</t>
        </is>
      </c>
      <c r="D374" t="inlineStr">
        <is>
          <t>Real Madrid</t>
        </is>
      </c>
      <c r="E374" t="n">
        <v>3</v>
      </c>
      <c r="F374" t="inlineStr">
        <is>
          <t>OFF</t>
        </is>
      </c>
    </row>
    <row r="375">
      <c r="A375" t="inlineStr">
        <is>
          <t>2026-09-24</t>
        </is>
      </c>
      <c r="B375" t="inlineStr">
        <is>
          <t>Thu</t>
        </is>
      </c>
      <c r="C375" t="inlineStr">
        <is>
          <t>Client</t>
        </is>
      </c>
      <c r="D375" t="inlineStr">
        <is>
          <t>Return</t>
        </is>
      </c>
      <c r="E375" t="n">
        <v>1</v>
      </c>
      <c r="F375" t="inlineStr">
        <is>
          <t>03:00-11:00</t>
        </is>
      </c>
      <c r="G375" t="inlineStr">
        <is>
          <t>Monteza</t>
        </is>
      </c>
      <c r="H375" t="inlineStr">
        <is>
          <t>Ivory Tower</t>
        </is>
      </c>
    </row>
    <row r="376">
      <c r="A376" t="inlineStr">
        <is>
          <t>2026-09-24</t>
        </is>
      </c>
      <c r="B376" t="inlineStr">
        <is>
          <t>Thu</t>
        </is>
      </c>
      <c r="C376" t="inlineStr">
        <is>
          <t>Client</t>
        </is>
      </c>
      <c r="D376" t="inlineStr">
        <is>
          <t>Road</t>
        </is>
      </c>
      <c r="E376" t="n">
        <v>1</v>
      </c>
      <c r="F376" t="inlineStr">
        <is>
          <t>OFF</t>
        </is>
      </c>
    </row>
    <row r="377">
      <c r="A377" t="inlineStr">
        <is>
          <t>2026-09-24</t>
        </is>
      </c>
      <c r="B377" t="inlineStr">
        <is>
          <t>Thu</t>
        </is>
      </c>
      <c r="C377" t="inlineStr">
        <is>
          <t>Client</t>
        </is>
      </c>
      <c r="D377" t="inlineStr">
        <is>
          <t>SSEN</t>
        </is>
      </c>
      <c r="E377" t="n">
        <v>1</v>
      </c>
      <c r="F377" t="inlineStr">
        <is>
          <t>07:00-19:00</t>
        </is>
      </c>
      <c r="G377" t="inlineStr">
        <is>
          <t>Christelle</t>
        </is>
      </c>
    </row>
    <row r="378">
      <c r="A378" t="inlineStr">
        <is>
          <t>2026-09-24</t>
        </is>
      </c>
      <c r="B378" t="inlineStr">
        <is>
          <t>Thu</t>
        </is>
      </c>
      <c r="C378" t="inlineStr">
        <is>
          <t>Client</t>
        </is>
      </c>
      <c r="D378" t="inlineStr">
        <is>
          <t>Tiger</t>
        </is>
      </c>
      <c r="E378" t="n">
        <v>1</v>
      </c>
      <c r="F378" t="inlineStr">
        <is>
          <t>OFF</t>
        </is>
      </c>
    </row>
    <row r="379">
      <c r="A379" t="inlineStr">
        <is>
          <t>2026-09-24</t>
        </is>
      </c>
      <c r="B379" t="inlineStr">
        <is>
          <t>Thu</t>
        </is>
      </c>
      <c r="C379" t="inlineStr">
        <is>
          <t>Client</t>
        </is>
      </c>
      <c r="D379" t="inlineStr">
        <is>
          <t>Tiger</t>
        </is>
      </c>
      <c r="E379" t="n">
        <v>2</v>
      </c>
      <c r="F379" t="inlineStr">
        <is>
          <t>OFF</t>
        </is>
      </c>
      <c r="H379" t="inlineStr">
        <is>
          <t>Ivory Tower</t>
        </is>
      </c>
    </row>
    <row r="380">
      <c r="A380" t="inlineStr">
        <is>
          <t>2026-09-24</t>
        </is>
      </c>
      <c r="B380" t="inlineStr">
        <is>
          <t>Thu</t>
        </is>
      </c>
      <c r="C380" t="inlineStr">
        <is>
          <t>Client</t>
        </is>
      </c>
      <c r="D380" t="inlineStr">
        <is>
          <t>Yeoseo</t>
        </is>
      </c>
      <c r="E380" t="n">
        <v>1</v>
      </c>
      <c r="F380" t="inlineStr">
        <is>
          <t>OFF</t>
        </is>
      </c>
      <c r="H380" t="inlineStr">
        <is>
          <t>abandoned land 3
a land of corruption5</t>
        </is>
      </c>
      <c r="K380" t="inlineStr">
        <is>
          <t>E-Potion O</t>
        </is>
      </c>
      <c r="L380" t="inlineStr">
        <is>
          <t>555 buff</t>
        </is>
      </c>
      <c r="M380" t="inlineStr">
        <is>
          <t>Shield, Armour O</t>
        </is>
      </c>
    </row>
    <row r="381">
      <c r="A381" t="inlineStr">
        <is>
          <t>2026-09-24</t>
        </is>
      </c>
      <c r="B381" t="inlineStr">
        <is>
          <t>Thu</t>
        </is>
      </c>
      <c r="C381" t="inlineStr">
        <is>
          <t>Client</t>
        </is>
      </c>
      <c r="D381" t="inlineStr">
        <is>
          <t>Zombie</t>
        </is>
      </c>
      <c r="E381" t="n">
        <v>1</v>
      </c>
      <c r="F381" t="inlineStr">
        <is>
          <t>OFF</t>
        </is>
      </c>
    </row>
    <row r="382">
      <c r="A382" t="inlineStr">
        <is>
          <t>2026-09-24</t>
        </is>
      </c>
      <c r="B382" t="inlineStr">
        <is>
          <t>Thu</t>
        </is>
      </c>
      <c r="C382" t="inlineStr">
        <is>
          <t>Client</t>
        </is>
      </c>
      <c r="D382" t="inlineStr">
        <is>
          <t>Zombie</t>
        </is>
      </c>
      <c r="E382" t="n">
        <v>2</v>
      </c>
      <c r="F382" t="inlineStr">
        <is>
          <t>OFF</t>
        </is>
      </c>
    </row>
    <row r="383">
      <c r="A383" t="inlineStr">
        <is>
          <t>2026-09-24</t>
        </is>
      </c>
      <c r="B383" t="inlineStr">
        <is>
          <t>Thu</t>
        </is>
      </c>
      <c r="C383" t="inlineStr">
        <is>
          <t>Client</t>
        </is>
      </c>
      <c r="D383" t="inlineStr">
        <is>
          <t>Zombie</t>
        </is>
      </c>
      <c r="E383" t="n">
        <v>3</v>
      </c>
      <c r="F383" t="inlineStr">
        <is>
          <t>OFF</t>
        </is>
      </c>
      <c r="H383" t="inlineStr">
        <is>
          <t>Ivory Tower</t>
        </is>
      </c>
    </row>
    <row r="384">
      <c r="A384" t="inlineStr">
        <is>
          <t>2026-09-24</t>
        </is>
      </c>
      <c r="B384" t="inlineStr">
        <is>
          <t>Thu</t>
        </is>
      </c>
      <c r="C384" t="inlineStr">
        <is>
          <t>Farming</t>
        </is>
      </c>
      <c r="D384" t="inlineStr">
        <is>
          <t>Kangaroo</t>
        </is>
      </c>
      <c r="E384" t="n">
        <v>1</v>
      </c>
      <c r="F384" t="inlineStr">
        <is>
          <t>08:00-16:00</t>
        </is>
      </c>
      <c r="G384" t="inlineStr">
        <is>
          <t>Jan Nino</t>
        </is>
      </c>
      <c r="H384" t="inlineStr">
        <is>
          <t>Corrupted Land</t>
        </is>
      </c>
      <c r="I384" t="inlineStr">
        <is>
          <t>↓</t>
        </is>
      </c>
      <c r="J384" t="inlineStr">
        <is>
          <t>↓</t>
        </is>
      </c>
      <c r="K384" t="inlineStr">
        <is>
          <t>↓</t>
        </is>
      </c>
      <c r="L384" t="inlineStr">
        <is>
          <t>↓</t>
        </is>
      </c>
      <c r="M384" t="inlineStr">
        <is>
          <t>↓</t>
        </is>
      </c>
    </row>
    <row r="385">
      <c r="A385" t="inlineStr">
        <is>
          <t>2026-09-24</t>
        </is>
      </c>
      <c r="B385" t="inlineStr">
        <is>
          <t>Thu</t>
        </is>
      </c>
      <c r="C385" t="inlineStr">
        <is>
          <t>Farming</t>
        </is>
      </c>
      <c r="D385" t="inlineStr">
        <is>
          <t>Kangaroo</t>
        </is>
      </c>
      <c r="E385" t="n">
        <v>2</v>
      </c>
      <c r="F385" t="inlineStr">
        <is>
          <t>16:00-24:00</t>
        </is>
      </c>
      <c r="G385" t="inlineStr">
        <is>
          <t>Jan Nino</t>
        </is>
      </c>
      <c r="H385" t="inlineStr">
        <is>
          <t>Corrupted Land</t>
        </is>
      </c>
    </row>
    <row r="386">
      <c r="A386" t="inlineStr">
        <is>
          <t>2026-09-24</t>
        </is>
      </c>
      <c r="B386" t="inlineStr">
        <is>
          <t>Thu</t>
        </is>
      </c>
      <c r="C386" t="inlineStr">
        <is>
          <t>Farming</t>
        </is>
      </c>
      <c r="D386" t="inlineStr">
        <is>
          <t>Kangaroo</t>
        </is>
      </c>
      <c r="E386" t="n">
        <v>3</v>
      </c>
      <c r="F386" t="inlineStr">
        <is>
          <t>24:00-08:00</t>
        </is>
      </c>
      <c r="G386" t="inlineStr">
        <is>
          <t>Chester</t>
        </is>
      </c>
      <c r="H386" t="inlineStr">
        <is>
          <t>Corrupted Land</t>
        </is>
      </c>
    </row>
    <row r="387">
      <c r="A387" t="inlineStr">
        <is>
          <t>2026-09-24</t>
        </is>
      </c>
      <c r="B387" t="inlineStr">
        <is>
          <t>Thu</t>
        </is>
      </c>
      <c r="C387" t="inlineStr">
        <is>
          <t>Farming</t>
        </is>
      </c>
      <c r="D387" t="inlineStr">
        <is>
          <t>Kyoryu</t>
        </is>
      </c>
      <c r="E387" t="n">
        <v>1</v>
      </c>
      <c r="F387" t="inlineStr">
        <is>
          <t>08:00-15:00</t>
        </is>
      </c>
    </row>
    <row r="388">
      <c r="A388" t="inlineStr">
        <is>
          <t>2026-09-24</t>
        </is>
      </c>
      <c r="B388" t="inlineStr">
        <is>
          <t>Thu</t>
        </is>
      </c>
      <c r="C388" t="inlineStr">
        <is>
          <t>Farming</t>
        </is>
      </c>
      <c r="D388" t="inlineStr">
        <is>
          <t>Kyoryu</t>
        </is>
      </c>
      <c r="E388" t="n">
        <v>2</v>
      </c>
      <c r="F388" t="inlineStr">
        <is>
          <t>16:00-24:00</t>
        </is>
      </c>
      <c r="H388" t="inlineStr">
        <is>
          <t>ELMORE &amp; DD</t>
        </is>
      </c>
    </row>
    <row r="389">
      <c r="A389" t="inlineStr">
        <is>
          <t>2026-09-24</t>
        </is>
      </c>
      <c r="B389" t="inlineStr">
        <is>
          <t>Thu</t>
        </is>
      </c>
      <c r="C389" t="inlineStr">
        <is>
          <t>Farming</t>
        </is>
      </c>
      <c r="D389" t="inlineStr">
        <is>
          <t>Kyoryu</t>
        </is>
      </c>
      <c r="E389" t="n">
        <v>3</v>
      </c>
      <c r="F389" t="inlineStr">
        <is>
          <t>24:00-08:00</t>
        </is>
      </c>
      <c r="H389" t="inlineStr">
        <is>
          <t>Elmore</t>
        </is>
      </c>
    </row>
    <row r="390">
      <c r="A390" t="inlineStr">
        <is>
          <t>2026-09-24</t>
        </is>
      </c>
      <c r="B390" t="inlineStr">
        <is>
          <t>Thu</t>
        </is>
      </c>
      <c r="C390" t="inlineStr">
        <is>
          <t>Farming</t>
        </is>
      </c>
      <c r="D390" t="inlineStr">
        <is>
          <t>Marcelo</t>
        </is>
      </c>
      <c r="E390" t="n">
        <v>1</v>
      </c>
      <c r="F390" t="inlineStr">
        <is>
          <t>08:00-16:00</t>
        </is>
      </c>
    </row>
    <row r="391">
      <c r="A391" t="inlineStr">
        <is>
          <t>2026-09-24</t>
        </is>
      </c>
      <c r="B391" t="inlineStr">
        <is>
          <t>Thu</t>
        </is>
      </c>
      <c r="C391" t="inlineStr">
        <is>
          <t>Farming</t>
        </is>
      </c>
      <c r="D391" t="inlineStr">
        <is>
          <t>Marcelo</t>
        </is>
      </c>
      <c r="E391" t="n">
        <v>2</v>
      </c>
      <c r="F391" t="inlineStr">
        <is>
          <t>16:00-24:00</t>
        </is>
      </c>
      <c r="G391" t="inlineStr">
        <is>
          <t>Jefferson</t>
        </is>
      </c>
      <c r="H391" t="inlineStr">
        <is>
          <t>ELMORE &amp; DD</t>
        </is>
      </c>
    </row>
    <row r="392">
      <c r="A392" t="inlineStr">
        <is>
          <t>2026-09-24</t>
        </is>
      </c>
      <c r="B392" t="inlineStr">
        <is>
          <t>Thu</t>
        </is>
      </c>
      <c r="C392" t="inlineStr">
        <is>
          <t>Farming</t>
        </is>
      </c>
      <c r="D392" t="inlineStr">
        <is>
          <t>Marcelo</t>
        </is>
      </c>
      <c r="E392" t="n">
        <v>3</v>
      </c>
      <c r="F392" t="inlineStr">
        <is>
          <t>24:00-08:00</t>
        </is>
      </c>
      <c r="G392" t="inlineStr">
        <is>
          <t>Lourence</t>
        </is>
      </c>
      <c r="H392" t="inlineStr">
        <is>
          <t>Elmore</t>
        </is>
      </c>
    </row>
    <row r="393">
      <c r="A393" t="inlineStr">
        <is>
          <t>2026-09-24</t>
        </is>
      </c>
      <c r="B393" t="inlineStr">
        <is>
          <t>Thu</t>
        </is>
      </c>
      <c r="C393" t="inlineStr">
        <is>
          <t>Farming</t>
        </is>
      </c>
      <c r="D393" t="inlineStr">
        <is>
          <t>OldBlood</t>
        </is>
      </c>
      <c r="E393" t="n">
        <v>1</v>
      </c>
      <c r="F393" t="inlineStr">
        <is>
          <t>05:00-08:00</t>
        </is>
      </c>
    </row>
    <row r="394">
      <c r="A394" t="inlineStr">
        <is>
          <t>2026-09-24</t>
        </is>
      </c>
      <c r="B394" t="inlineStr">
        <is>
          <t>Thu</t>
        </is>
      </c>
      <c r="C394" t="inlineStr">
        <is>
          <t>Farming</t>
        </is>
      </c>
      <c r="D394" t="inlineStr">
        <is>
          <t>Pele</t>
        </is>
      </c>
      <c r="E394" t="n">
        <v>1</v>
      </c>
      <c r="F394" t="inlineStr">
        <is>
          <t>08:00-16:00</t>
        </is>
      </c>
    </row>
    <row r="395">
      <c r="A395" t="inlineStr">
        <is>
          <t>2026-09-24</t>
        </is>
      </c>
      <c r="B395" t="inlineStr">
        <is>
          <t>Thu</t>
        </is>
      </c>
      <c r="C395" t="inlineStr">
        <is>
          <t>Farming</t>
        </is>
      </c>
      <c r="D395" t="inlineStr">
        <is>
          <t>Pele</t>
        </is>
      </c>
      <c r="E395" t="n">
        <v>2</v>
      </c>
      <c r="F395" t="inlineStr">
        <is>
          <t>16:00-24:00</t>
        </is>
      </c>
      <c r="G395" t="inlineStr">
        <is>
          <t>Jay Penilla</t>
        </is>
      </c>
      <c r="H395" t="inlineStr">
        <is>
          <t>ANT &amp; ELMORE</t>
        </is>
      </c>
    </row>
    <row r="396">
      <c r="A396" t="inlineStr">
        <is>
          <t>2026-09-24</t>
        </is>
      </c>
      <c r="B396" t="inlineStr">
        <is>
          <t>Thu</t>
        </is>
      </c>
      <c r="C396" t="inlineStr">
        <is>
          <t>Farming</t>
        </is>
      </c>
      <c r="D396" t="inlineStr">
        <is>
          <t>Pele</t>
        </is>
      </c>
      <c r="E396" t="n">
        <v>3</v>
      </c>
      <c r="F396" t="inlineStr">
        <is>
          <t>24:00-08:00</t>
        </is>
      </c>
      <c r="G396" t="inlineStr">
        <is>
          <t>Rodel</t>
        </is>
      </c>
      <c r="H396" t="inlineStr">
        <is>
          <t>ELMORE</t>
        </is>
      </c>
    </row>
    <row r="397">
      <c r="A397" t="inlineStr">
        <is>
          <t>2026-09-24</t>
        </is>
      </c>
      <c r="B397" t="inlineStr">
        <is>
          <t>Thu</t>
        </is>
      </c>
      <c r="C397" t="inlineStr">
        <is>
          <t>Farming</t>
        </is>
      </c>
      <c r="D397" t="inlineStr">
        <is>
          <t>Ronaldo</t>
        </is>
      </c>
      <c r="E397" t="n">
        <v>1</v>
      </c>
      <c r="F397" t="inlineStr">
        <is>
          <t>08:00-16:00</t>
        </is>
      </c>
    </row>
    <row r="398">
      <c r="A398" t="inlineStr">
        <is>
          <t>2026-09-24</t>
        </is>
      </c>
      <c r="B398" t="inlineStr">
        <is>
          <t>Thu</t>
        </is>
      </c>
      <c r="C398" t="inlineStr">
        <is>
          <t>Farming</t>
        </is>
      </c>
      <c r="D398" t="inlineStr">
        <is>
          <t>Ronaldo</t>
        </is>
      </c>
      <c r="E398" t="n">
        <v>2</v>
      </c>
      <c r="F398" t="inlineStr">
        <is>
          <t>OFF</t>
        </is>
      </c>
      <c r="H398" t="inlineStr">
        <is>
          <t>Ivory Tower 4~5</t>
        </is>
      </c>
    </row>
    <row r="399">
      <c r="A399" t="inlineStr">
        <is>
          <t>2026-09-24</t>
        </is>
      </c>
      <c r="B399" t="inlineStr">
        <is>
          <t>Thu</t>
        </is>
      </c>
      <c r="C399" t="inlineStr">
        <is>
          <t>Farming</t>
        </is>
      </c>
      <c r="D399" t="inlineStr">
        <is>
          <t>Ronaldo</t>
        </is>
      </c>
      <c r="E399" t="n">
        <v>3</v>
      </c>
      <c r="F399" t="inlineStr">
        <is>
          <t>24:00-08:00</t>
        </is>
      </c>
      <c r="G399" t="inlineStr">
        <is>
          <t>Lemark</t>
        </is>
      </c>
      <c r="H399" t="inlineStr">
        <is>
          <t>Ivory flr4&amp;5</t>
        </is>
      </c>
    </row>
    <row r="400">
      <c r="A400" t="inlineStr">
        <is>
          <t>2026-09-24</t>
        </is>
      </c>
      <c r="B400" t="inlineStr">
        <is>
          <t>Thu</t>
        </is>
      </c>
      <c r="C400" t="inlineStr">
        <is>
          <t>Farming</t>
        </is>
      </c>
      <c r="D400" t="inlineStr">
        <is>
          <t>Sarim</t>
        </is>
      </c>
      <c r="E400" t="n">
        <v>1</v>
      </c>
      <c r="F400" t="inlineStr">
        <is>
          <t>08:00-16:00</t>
        </is>
      </c>
    </row>
    <row r="401">
      <c r="A401" t="inlineStr">
        <is>
          <t>2026-09-24</t>
        </is>
      </c>
      <c r="B401" t="inlineStr">
        <is>
          <t>Thu</t>
        </is>
      </c>
      <c r="C401" t="inlineStr">
        <is>
          <t>Farming</t>
        </is>
      </c>
      <c r="D401" t="inlineStr">
        <is>
          <t>Sarim</t>
        </is>
      </c>
      <c r="E401" t="n">
        <v>2</v>
      </c>
      <c r="F401" t="inlineStr">
        <is>
          <t>16:00-24:00</t>
        </is>
      </c>
      <c r="G401" t="inlineStr">
        <is>
          <t>Adrian Torres</t>
        </is>
      </c>
      <c r="H401" t="inlineStr">
        <is>
          <t>ELMORE &amp; DD</t>
        </is>
      </c>
    </row>
    <row r="402">
      <c r="A402" t="inlineStr">
        <is>
          <t>2026-09-24</t>
        </is>
      </c>
      <c r="B402" t="inlineStr">
        <is>
          <t>Thu</t>
        </is>
      </c>
      <c r="C402" t="inlineStr">
        <is>
          <t>Farming</t>
        </is>
      </c>
      <c r="D402" t="inlineStr">
        <is>
          <t>Sarim</t>
        </is>
      </c>
      <c r="E402" t="n">
        <v>3</v>
      </c>
      <c r="F402" t="inlineStr">
        <is>
          <t>24:00-08:00</t>
        </is>
      </c>
      <c r="G402" t="inlineStr">
        <is>
          <t>John Carlo</t>
        </is>
      </c>
      <c r="H402" t="inlineStr">
        <is>
          <t>Elmore</t>
        </is>
      </c>
    </row>
    <row r="403">
      <c r="A403" t="inlineStr">
        <is>
          <t>2026-09-24</t>
        </is>
      </c>
      <c r="B403" t="inlineStr">
        <is>
          <t>Thu</t>
        </is>
      </c>
      <c r="C403" t="inlineStr">
        <is>
          <t>Farming</t>
        </is>
      </c>
      <c r="D403" t="inlineStr">
        <is>
          <t>Sinsang</t>
        </is>
      </c>
      <c r="E403" t="n">
        <v>1</v>
      </c>
      <c r="F403" t="inlineStr">
        <is>
          <t>07:00-11:00</t>
        </is>
      </c>
      <c r="G403" t="inlineStr">
        <is>
          <t>TL-John</t>
        </is>
      </c>
      <c r="H403" t="inlineStr">
        <is>
          <t>Corrrupted Land</t>
        </is>
      </c>
      <c r="J403" t="n">
        <v>1.3349</v>
      </c>
    </row>
    <row r="404">
      <c r="A404" t="inlineStr">
        <is>
          <t>2026-09-24</t>
        </is>
      </c>
      <c r="B404" t="inlineStr">
        <is>
          <t>Thu</t>
        </is>
      </c>
      <c r="C404" t="inlineStr">
        <is>
          <t>Farming</t>
        </is>
      </c>
      <c r="D404" t="inlineStr">
        <is>
          <t>Sudden</t>
        </is>
      </c>
      <c r="E404" t="n">
        <v>1</v>
      </c>
      <c r="F404" t="inlineStr">
        <is>
          <t>08:00-16:00</t>
        </is>
      </c>
    </row>
    <row r="405">
      <c r="A405" t="inlineStr">
        <is>
          <t>2026-09-24</t>
        </is>
      </c>
      <c r="B405" t="inlineStr">
        <is>
          <t>Thu</t>
        </is>
      </c>
      <c r="C405" t="inlineStr">
        <is>
          <t>Farming</t>
        </is>
      </c>
      <c r="D405" t="inlineStr">
        <is>
          <t>Sudden</t>
        </is>
      </c>
      <c r="E405" t="n">
        <v>2</v>
      </c>
      <c r="F405" t="inlineStr">
        <is>
          <t>16:00-24:00</t>
        </is>
      </c>
      <c r="H405" t="inlineStr">
        <is>
          <t>ELMORE &amp; DD</t>
        </is>
      </c>
    </row>
    <row r="406">
      <c r="A406" t="inlineStr">
        <is>
          <t>2026-09-24</t>
        </is>
      </c>
      <c r="B406" t="inlineStr">
        <is>
          <t>Thu</t>
        </is>
      </c>
      <c r="C406" t="inlineStr">
        <is>
          <t>Farming</t>
        </is>
      </c>
      <c r="D406" t="inlineStr">
        <is>
          <t>Sudden</t>
        </is>
      </c>
      <c r="E406" t="n">
        <v>3</v>
      </c>
      <c r="F406" t="inlineStr">
        <is>
          <t>24:00-08:00</t>
        </is>
      </c>
      <c r="G406" t="inlineStr">
        <is>
          <t>Ehder Lhen</t>
        </is>
      </c>
      <c r="H406" t="inlineStr">
        <is>
          <t>Elmore</t>
        </is>
      </c>
    </row>
    <row r="407">
      <c r="A407" t="inlineStr">
        <is>
          <t>2026-09-24</t>
        </is>
      </c>
      <c r="B407" t="inlineStr">
        <is>
          <t>Thu</t>
        </is>
      </c>
      <c r="C407" t="inlineStr">
        <is>
          <t>Farming</t>
        </is>
      </c>
      <c r="D407" t="inlineStr">
        <is>
          <t>Sunsang</t>
        </is>
      </c>
      <c r="E407" t="n">
        <v>1</v>
      </c>
      <c r="F407" t="inlineStr">
        <is>
          <t>OFF</t>
        </is>
      </c>
    </row>
    <row r="408">
      <c r="A408" t="inlineStr">
        <is>
          <t>2026-09-24</t>
        </is>
      </c>
      <c r="B408" t="inlineStr">
        <is>
          <t>Thu</t>
        </is>
      </c>
      <c r="C408" t="inlineStr">
        <is>
          <t>Farming</t>
        </is>
      </c>
      <c r="D408" t="inlineStr">
        <is>
          <t>Sunsang</t>
        </is>
      </c>
      <c r="E408" t="n">
        <v>2</v>
      </c>
      <c r="F408" t="inlineStr">
        <is>
          <t>24:00-08:00</t>
        </is>
      </c>
    </row>
    <row r="409">
      <c r="A409" t="inlineStr">
        <is>
          <t>2026-09-24</t>
        </is>
      </c>
      <c r="B409" t="inlineStr">
        <is>
          <t>Thu</t>
        </is>
      </c>
      <c r="C409" t="inlineStr">
        <is>
          <t>Farming</t>
        </is>
      </c>
      <c r="D409" t="inlineStr">
        <is>
          <t>Taejo</t>
        </is>
      </c>
      <c r="E409" t="n">
        <v>1</v>
      </c>
      <c r="F409" t="inlineStr">
        <is>
          <t>08:00-16:00</t>
        </is>
      </c>
    </row>
    <row r="410">
      <c r="A410" t="inlineStr">
        <is>
          <t>2026-09-24</t>
        </is>
      </c>
      <c r="B410" t="inlineStr">
        <is>
          <t>Thu</t>
        </is>
      </c>
      <c r="C410" t="inlineStr">
        <is>
          <t>Farming</t>
        </is>
      </c>
      <c r="D410" t="inlineStr">
        <is>
          <t>Taejo</t>
        </is>
      </c>
      <c r="E410" t="n">
        <v>2</v>
      </c>
      <c r="F410" t="inlineStr">
        <is>
          <t>16:00-24:00</t>
        </is>
      </c>
      <c r="G410" t="inlineStr">
        <is>
          <t>Jel Rick</t>
        </is>
      </c>
      <c r="H410" t="inlineStr">
        <is>
          <t>ELMORE &amp; DD</t>
        </is>
      </c>
    </row>
    <row r="411">
      <c r="A411" t="inlineStr">
        <is>
          <t>2026-09-24</t>
        </is>
      </c>
      <c r="B411" t="inlineStr">
        <is>
          <t>Thu</t>
        </is>
      </c>
      <c r="C411" t="inlineStr">
        <is>
          <t>Farming</t>
        </is>
      </c>
      <c r="D411" t="inlineStr">
        <is>
          <t>Taejo</t>
        </is>
      </c>
      <c r="E411" t="n">
        <v>3</v>
      </c>
      <c r="F411" t="inlineStr">
        <is>
          <t>24:00-08:00</t>
        </is>
      </c>
      <c r="H411" t="inlineStr">
        <is>
          <t>Elmore</t>
        </is>
      </c>
    </row>
    <row r="412">
      <c r="A412" t="inlineStr">
        <is>
          <t>2026-09-25</t>
        </is>
      </c>
      <c r="B412" t="inlineStr">
        <is>
          <t>Fri</t>
        </is>
      </c>
      <c r="C412" t="inlineStr">
        <is>
          <t>Client</t>
        </is>
      </c>
      <c r="D412" t="inlineStr">
        <is>
          <t>ADA</t>
        </is>
      </c>
      <c r="E412" t="n">
        <v>1</v>
      </c>
      <c r="F412" t="inlineStr">
        <is>
          <t>09:00-12:00</t>
        </is>
      </c>
      <c r="G412" t="inlineStr">
        <is>
          <t>Cejay</t>
        </is>
      </c>
    </row>
    <row r="413">
      <c r="A413" t="inlineStr">
        <is>
          <t>2026-09-25</t>
        </is>
      </c>
      <c r="B413" t="inlineStr">
        <is>
          <t>Fri</t>
        </is>
      </c>
      <c r="C413" t="inlineStr">
        <is>
          <t>Client</t>
        </is>
      </c>
      <c r="D413" t="inlineStr">
        <is>
          <t>ADA</t>
        </is>
      </c>
      <c r="E413" t="n">
        <v>2</v>
      </c>
      <c r="F413" t="inlineStr">
        <is>
          <t>OFF</t>
        </is>
      </c>
    </row>
    <row r="414">
      <c r="A414" t="inlineStr">
        <is>
          <t>2026-09-25</t>
        </is>
      </c>
      <c r="B414" t="inlineStr">
        <is>
          <t>Fri</t>
        </is>
      </c>
      <c r="C414" t="inlineStr">
        <is>
          <t>Client</t>
        </is>
      </c>
      <c r="D414" t="inlineStr">
        <is>
          <t>Alex</t>
        </is>
      </c>
      <c r="E414" t="n">
        <v>1</v>
      </c>
      <c r="F414" t="inlineStr">
        <is>
          <t>08:00-16:00</t>
        </is>
      </c>
      <c r="H414" t="inlineStr">
        <is>
          <t>Ivory Tower 4~5</t>
        </is>
      </c>
    </row>
    <row r="415">
      <c r="A415" t="inlineStr">
        <is>
          <t>2026-09-25</t>
        </is>
      </c>
      <c r="B415" t="inlineStr">
        <is>
          <t>Fri</t>
        </is>
      </c>
      <c r="C415" t="inlineStr">
        <is>
          <t>Client</t>
        </is>
      </c>
      <c r="D415" t="inlineStr">
        <is>
          <t>Alex</t>
        </is>
      </c>
      <c r="E415" t="n">
        <v>2</v>
      </c>
      <c r="F415" t="inlineStr">
        <is>
          <t>16:00-24:00</t>
        </is>
      </c>
      <c r="H415" t="inlineStr">
        <is>
          <t>Ivory Tower 6~7</t>
        </is>
      </c>
    </row>
    <row r="416">
      <c r="A416" t="inlineStr">
        <is>
          <t>2026-09-25</t>
        </is>
      </c>
      <c r="B416" t="inlineStr">
        <is>
          <t>Fri</t>
        </is>
      </c>
      <c r="C416" t="inlineStr">
        <is>
          <t>Client</t>
        </is>
      </c>
      <c r="D416" t="inlineStr">
        <is>
          <t>Alex</t>
        </is>
      </c>
      <c r="E416" t="n">
        <v>3</v>
      </c>
      <c r="F416" t="inlineStr">
        <is>
          <t>24:00-08:00</t>
        </is>
      </c>
      <c r="H416" t="inlineStr">
        <is>
          <t>Ivory Tower 4~5</t>
        </is>
      </c>
    </row>
    <row r="417">
      <c r="A417" t="inlineStr">
        <is>
          <t>2026-09-25</t>
        </is>
      </c>
      <c r="B417" t="inlineStr">
        <is>
          <t>Fri</t>
        </is>
      </c>
      <c r="C417" t="inlineStr">
        <is>
          <t>Client</t>
        </is>
      </c>
      <c r="D417" t="inlineStr">
        <is>
          <t>Beongaebul</t>
        </is>
      </c>
      <c r="E417" t="n">
        <v>1</v>
      </c>
      <c r="F417" t="inlineStr">
        <is>
          <t>01:00-09:00</t>
        </is>
      </c>
      <c r="G417" t="inlineStr">
        <is>
          <t>Raul</t>
        </is>
      </c>
    </row>
    <row r="418">
      <c r="A418" t="inlineStr">
        <is>
          <t>2026-09-25</t>
        </is>
      </c>
      <c r="B418" t="inlineStr">
        <is>
          <t>Fri</t>
        </is>
      </c>
      <c r="C418" t="inlineStr">
        <is>
          <t>Client</t>
        </is>
      </c>
      <c r="D418" t="inlineStr">
        <is>
          <t>Captain</t>
        </is>
      </c>
      <c r="E418" t="n">
        <v>1</v>
      </c>
      <c r="F418" t="inlineStr">
        <is>
          <t>OFF</t>
        </is>
      </c>
    </row>
    <row r="419">
      <c r="A419" t="inlineStr">
        <is>
          <t>2026-09-25</t>
        </is>
      </c>
      <c r="B419" t="inlineStr">
        <is>
          <t>Fri</t>
        </is>
      </c>
      <c r="C419" t="inlineStr">
        <is>
          <t>Client</t>
        </is>
      </c>
      <c r="D419" t="inlineStr">
        <is>
          <t>Captain</t>
        </is>
      </c>
      <c r="E419" t="n">
        <v>2</v>
      </c>
      <c r="F419" t="inlineStr">
        <is>
          <t>OFF</t>
        </is>
      </c>
    </row>
    <row r="420">
      <c r="A420" t="inlineStr">
        <is>
          <t>2026-09-25</t>
        </is>
      </c>
      <c r="B420" t="inlineStr">
        <is>
          <t>Fri</t>
        </is>
      </c>
      <c r="C420" t="inlineStr">
        <is>
          <t>Client</t>
        </is>
      </c>
      <c r="D420" t="inlineStr">
        <is>
          <t>Dalo</t>
        </is>
      </c>
      <c r="E420" t="n">
        <v>1</v>
      </c>
      <c r="F420" t="inlineStr">
        <is>
          <t>OFF</t>
        </is>
      </c>
    </row>
    <row r="421">
      <c r="A421" t="inlineStr">
        <is>
          <t>2026-09-25</t>
        </is>
      </c>
      <c r="B421" t="inlineStr">
        <is>
          <t>Fri</t>
        </is>
      </c>
      <c r="C421" t="inlineStr">
        <is>
          <t>Client</t>
        </is>
      </c>
      <c r="D421" t="inlineStr">
        <is>
          <t>Dalo</t>
        </is>
      </c>
      <c r="E421" t="n">
        <v>2</v>
      </c>
      <c r="F421" t="inlineStr">
        <is>
          <t>OFF</t>
        </is>
      </c>
    </row>
    <row r="422">
      <c r="A422" t="inlineStr">
        <is>
          <t>2026-09-25</t>
        </is>
      </c>
      <c r="B422" t="inlineStr">
        <is>
          <t>Fri</t>
        </is>
      </c>
      <c r="C422" t="inlineStr">
        <is>
          <t>Client</t>
        </is>
      </c>
      <c r="D422" t="inlineStr">
        <is>
          <t>Dalo</t>
        </is>
      </c>
      <c r="E422" t="n">
        <v>3</v>
      </c>
      <c r="F422" t="inlineStr">
        <is>
          <t>OFF</t>
        </is>
      </c>
    </row>
    <row r="423">
      <c r="A423" t="inlineStr">
        <is>
          <t>2026-09-25</t>
        </is>
      </c>
      <c r="B423" t="inlineStr">
        <is>
          <t>Fri</t>
        </is>
      </c>
      <c r="C423" t="inlineStr">
        <is>
          <t>Client</t>
        </is>
      </c>
      <c r="D423" t="inlineStr">
        <is>
          <t>Dodam</t>
        </is>
      </c>
      <c r="E423" t="n">
        <v>1</v>
      </c>
      <c r="F423" t="inlineStr">
        <is>
          <t>23:00-11:00</t>
        </is>
      </c>
      <c r="G423" t="inlineStr">
        <is>
          <t>Cath Valdez</t>
        </is>
      </c>
      <c r="H423" t="inlineStr">
        <is>
          <t>Island of Dreams</t>
        </is>
      </c>
    </row>
    <row r="424">
      <c r="A424" t="inlineStr">
        <is>
          <t>2026-09-25</t>
        </is>
      </c>
      <c r="B424" t="inlineStr">
        <is>
          <t>Fri</t>
        </is>
      </c>
      <c r="C424" t="inlineStr">
        <is>
          <t>Client</t>
        </is>
      </c>
      <c r="D424" t="inlineStr">
        <is>
          <t>Dodam</t>
        </is>
      </c>
      <c r="E424" t="n">
        <v>2</v>
      </c>
      <c r="F424" t="inlineStr">
        <is>
          <t>07:00-19:00</t>
        </is>
      </c>
    </row>
    <row r="425">
      <c r="A425" t="inlineStr">
        <is>
          <t>2026-09-25</t>
        </is>
      </c>
      <c r="B425" t="inlineStr">
        <is>
          <t>Fri</t>
        </is>
      </c>
      <c r="C425" t="inlineStr">
        <is>
          <t>Client</t>
        </is>
      </c>
      <c r="D425" t="inlineStr">
        <is>
          <t>Dol</t>
        </is>
      </c>
      <c r="E425" t="n">
        <v>1</v>
      </c>
      <c r="F425" t="inlineStr">
        <is>
          <t>24:00-08:00</t>
        </is>
      </c>
      <c r="G425" t="inlineStr">
        <is>
          <t>Smartley</t>
        </is>
      </c>
      <c r="H425" t="inlineStr">
        <is>
          <t>Dragon Valley</t>
        </is>
      </c>
    </row>
    <row r="426">
      <c r="A426" t="inlineStr">
        <is>
          <t>2026-09-25</t>
        </is>
      </c>
      <c r="B426" t="inlineStr">
        <is>
          <t>Fri</t>
        </is>
      </c>
      <c r="C426" t="inlineStr">
        <is>
          <t>Client</t>
        </is>
      </c>
      <c r="D426" t="inlineStr">
        <is>
          <t>Dol</t>
        </is>
      </c>
      <c r="E426" t="n">
        <v>2</v>
      </c>
      <c r="F426" t="inlineStr">
        <is>
          <t>OFF</t>
        </is>
      </c>
    </row>
    <row r="427">
      <c r="A427" t="inlineStr">
        <is>
          <t>2026-09-25</t>
        </is>
      </c>
      <c r="B427" t="inlineStr">
        <is>
          <t>Fri</t>
        </is>
      </c>
      <c r="C427" t="inlineStr">
        <is>
          <t>Client</t>
        </is>
      </c>
      <c r="D427" t="inlineStr">
        <is>
          <t>Doma</t>
        </is>
      </c>
      <c r="E427" t="n">
        <v>1</v>
      </c>
      <c r="F427" t="inlineStr">
        <is>
          <t>OFF</t>
        </is>
      </c>
    </row>
    <row r="428">
      <c r="A428" t="inlineStr">
        <is>
          <t>2026-09-25</t>
        </is>
      </c>
      <c r="B428" t="inlineStr">
        <is>
          <t>Fri</t>
        </is>
      </c>
      <c r="C428" t="inlineStr">
        <is>
          <t>Client</t>
        </is>
      </c>
      <c r="D428" t="inlineStr">
        <is>
          <t>Doma</t>
        </is>
      </c>
      <c r="E428" t="n">
        <v>2</v>
      </c>
      <c r="F428" t="inlineStr">
        <is>
          <t>23:00-07:00</t>
        </is>
      </c>
      <c r="G428" t="inlineStr">
        <is>
          <t>Richard Salupari</t>
        </is>
      </c>
      <c r="H428" t="inlineStr">
        <is>
          <t>Ivory Tower</t>
        </is>
      </c>
    </row>
    <row r="429">
      <c r="A429" t="inlineStr">
        <is>
          <t>2026-09-25</t>
        </is>
      </c>
      <c r="B429" t="inlineStr">
        <is>
          <t>Fri</t>
        </is>
      </c>
      <c r="C429" t="inlineStr">
        <is>
          <t>Client</t>
        </is>
      </c>
      <c r="D429" t="inlineStr">
        <is>
          <t>Duga</t>
        </is>
      </c>
      <c r="E429" t="n">
        <v>1</v>
      </c>
      <c r="F429" t="inlineStr">
        <is>
          <t>07:00-15:00</t>
        </is>
      </c>
      <c r="G429" t="inlineStr">
        <is>
          <t>Patrick Rivera</t>
        </is>
      </c>
      <c r="H429" t="inlineStr">
        <is>
          <t>Oman/ Ivory Tower</t>
        </is>
      </c>
    </row>
    <row r="430">
      <c r="A430" t="inlineStr">
        <is>
          <t>2026-09-25</t>
        </is>
      </c>
      <c r="B430" t="inlineStr">
        <is>
          <t>Fri</t>
        </is>
      </c>
      <c r="C430" t="inlineStr">
        <is>
          <t>Client</t>
        </is>
      </c>
      <c r="D430" t="inlineStr">
        <is>
          <t>Elf</t>
        </is>
      </c>
      <c r="E430" t="n">
        <v>1</v>
      </c>
      <c r="F430" t="inlineStr">
        <is>
          <t>OFF</t>
        </is>
      </c>
    </row>
    <row r="431">
      <c r="A431" t="inlineStr">
        <is>
          <t>2026-09-25</t>
        </is>
      </c>
      <c r="B431" t="inlineStr">
        <is>
          <t>Fri</t>
        </is>
      </c>
      <c r="C431" t="inlineStr">
        <is>
          <t>Client</t>
        </is>
      </c>
      <c r="D431" t="inlineStr">
        <is>
          <t>Geonbae</t>
        </is>
      </c>
      <c r="E431" t="n">
        <v>1</v>
      </c>
      <c r="F431" t="inlineStr">
        <is>
          <t>OFF</t>
        </is>
      </c>
    </row>
    <row r="432">
      <c r="A432" t="inlineStr">
        <is>
          <t>2026-09-25</t>
        </is>
      </c>
      <c r="B432" t="inlineStr">
        <is>
          <t>Fri</t>
        </is>
      </c>
      <c r="C432" t="inlineStr">
        <is>
          <t>Client</t>
        </is>
      </c>
      <c r="D432" t="inlineStr">
        <is>
          <t>Geonbae</t>
        </is>
      </c>
      <c r="E432" t="n">
        <v>2</v>
      </c>
      <c r="F432" t="inlineStr">
        <is>
          <t>23:00-07:00</t>
        </is>
      </c>
      <c r="G432" t="inlineStr">
        <is>
          <t>Jheco</t>
        </is>
      </c>
      <c r="H432" t="inlineStr">
        <is>
          <t>Ivory Tower</t>
        </is>
      </c>
    </row>
    <row r="433">
      <c r="A433" t="inlineStr">
        <is>
          <t>2026-09-25</t>
        </is>
      </c>
      <c r="B433" t="inlineStr">
        <is>
          <t>Fri</t>
        </is>
      </c>
      <c r="C433" t="inlineStr">
        <is>
          <t>Client</t>
        </is>
      </c>
      <c r="D433" t="inlineStr">
        <is>
          <t>Goop</t>
        </is>
      </c>
      <c r="E433" t="n">
        <v>1</v>
      </c>
      <c r="F433" t="inlineStr">
        <is>
          <t>OFF</t>
        </is>
      </c>
    </row>
    <row r="434">
      <c r="A434" t="inlineStr">
        <is>
          <t>2026-09-25</t>
        </is>
      </c>
      <c r="B434" t="inlineStr">
        <is>
          <t>Fri</t>
        </is>
      </c>
      <c r="C434" t="inlineStr">
        <is>
          <t>Client</t>
        </is>
      </c>
      <c r="D434" t="inlineStr">
        <is>
          <t>Heon</t>
        </is>
      </c>
      <c r="E434" t="n">
        <v>1</v>
      </c>
      <c r="F434" t="inlineStr">
        <is>
          <t>OFF</t>
        </is>
      </c>
      <c r="H434" t="inlineStr">
        <is>
          <t>Abandoned Land (Abyss) 6
ivory tower 2</t>
        </is>
      </c>
      <c r="K434" t="inlineStr">
        <is>
          <t>E-Potion O</t>
        </is>
      </c>
      <c r="L434" t="inlineStr">
        <is>
          <t>555 buff</t>
        </is>
      </c>
      <c r="M434" t="inlineStr">
        <is>
          <t>Shield, Armour O</t>
        </is>
      </c>
    </row>
    <row r="435">
      <c r="A435" t="inlineStr">
        <is>
          <t>2026-09-25</t>
        </is>
      </c>
      <c r="B435" t="inlineStr">
        <is>
          <t>Fri</t>
        </is>
      </c>
      <c r="C435" t="inlineStr">
        <is>
          <t>Client</t>
        </is>
      </c>
      <c r="D435" t="inlineStr">
        <is>
          <t>Jjuni</t>
        </is>
      </c>
      <c r="E435" t="n">
        <v>1</v>
      </c>
      <c r="F435" t="inlineStr">
        <is>
          <t>13:00-21:00</t>
        </is>
      </c>
    </row>
    <row r="436">
      <c r="A436" t="inlineStr">
        <is>
          <t>2026-09-25</t>
        </is>
      </c>
      <c r="B436" t="inlineStr">
        <is>
          <t>Fri</t>
        </is>
      </c>
      <c r="C436" t="inlineStr">
        <is>
          <t>Client</t>
        </is>
      </c>
      <c r="D436" t="inlineStr">
        <is>
          <t>Jjuni</t>
        </is>
      </c>
      <c r="E436" t="n">
        <v>2</v>
      </c>
      <c r="F436" t="inlineStr">
        <is>
          <t>OFF</t>
        </is>
      </c>
    </row>
    <row r="437">
      <c r="A437" t="inlineStr">
        <is>
          <t>2026-09-25</t>
        </is>
      </c>
      <c r="B437" t="inlineStr">
        <is>
          <t>Fri</t>
        </is>
      </c>
      <c r="C437" t="inlineStr">
        <is>
          <t>Client</t>
        </is>
      </c>
      <c r="D437" t="inlineStr">
        <is>
          <t>Jjuni</t>
        </is>
      </c>
      <c r="E437" t="n">
        <v>3</v>
      </c>
      <c r="F437" t="inlineStr">
        <is>
          <t>OFF</t>
        </is>
      </c>
      <c r="H437" t="inlineStr">
        <is>
          <t>Ivory Tower</t>
        </is>
      </c>
    </row>
    <row r="438">
      <c r="A438" t="inlineStr">
        <is>
          <t>2026-09-25</t>
        </is>
      </c>
      <c r="B438" t="inlineStr">
        <is>
          <t>Fri</t>
        </is>
      </c>
      <c r="C438" t="inlineStr">
        <is>
          <t>Client</t>
        </is>
      </c>
      <c r="D438" t="inlineStr">
        <is>
          <t>Jo</t>
        </is>
      </c>
      <c r="E438" t="n">
        <v>1</v>
      </c>
      <c r="F438" t="inlineStr">
        <is>
          <t>OFF</t>
        </is>
      </c>
    </row>
    <row r="439">
      <c r="A439" t="inlineStr">
        <is>
          <t>2026-09-25</t>
        </is>
      </c>
      <c r="B439" t="inlineStr">
        <is>
          <t>Fri</t>
        </is>
      </c>
      <c r="C439" t="inlineStr">
        <is>
          <t>Client</t>
        </is>
      </c>
      <c r="D439" t="inlineStr">
        <is>
          <t>Lammy Queen</t>
        </is>
      </c>
      <c r="E439" t="n">
        <v>1</v>
      </c>
      <c r="F439" t="inlineStr">
        <is>
          <t>OFF</t>
        </is>
      </c>
    </row>
    <row r="440">
      <c r="A440" t="inlineStr">
        <is>
          <t>2026-09-25</t>
        </is>
      </c>
      <c r="B440" t="inlineStr">
        <is>
          <t>Fri</t>
        </is>
      </c>
      <c r="C440" t="inlineStr">
        <is>
          <t>Client</t>
        </is>
      </c>
      <c r="D440" t="inlineStr">
        <is>
          <t>Lammy Queen</t>
        </is>
      </c>
      <c r="E440" t="n">
        <v>2</v>
      </c>
      <c r="F440" t="inlineStr">
        <is>
          <t>01:00-09:00</t>
        </is>
      </c>
      <c r="G440" t="inlineStr">
        <is>
          <t>Rhuzsel</t>
        </is>
      </c>
      <c r="H440" t="inlineStr">
        <is>
          <t>Abandon Land</t>
        </is>
      </c>
    </row>
    <row r="441">
      <c r="A441" t="inlineStr">
        <is>
          <t>2026-09-25</t>
        </is>
      </c>
      <c r="B441" t="inlineStr">
        <is>
          <t>Fri</t>
        </is>
      </c>
      <c r="C441" t="inlineStr">
        <is>
          <t>Client</t>
        </is>
      </c>
      <c r="D441" t="inlineStr">
        <is>
          <t>Lolly</t>
        </is>
      </c>
      <c r="E441" t="n">
        <v>1</v>
      </c>
      <c r="F441" t="inlineStr">
        <is>
          <t>06:00-16:00</t>
        </is>
      </c>
      <c r="G441" t="inlineStr">
        <is>
          <t>Mitchell</t>
        </is>
      </c>
      <c r="H441" t="inlineStr">
        <is>
          <t>abandoned land 3
a land of corruption5</t>
        </is>
      </c>
      <c r="K441" t="inlineStr">
        <is>
          <t>E-Potion O</t>
        </is>
      </c>
      <c r="L441" t="inlineStr">
        <is>
          <t>555 buff</t>
        </is>
      </c>
      <c r="M441" t="inlineStr">
        <is>
          <t>Shield, Armour O</t>
        </is>
      </c>
    </row>
    <row r="442">
      <c r="A442" t="inlineStr">
        <is>
          <t>2026-09-25</t>
        </is>
      </c>
      <c r="B442" t="inlineStr">
        <is>
          <t>Fri</t>
        </is>
      </c>
      <c r="C442" t="inlineStr">
        <is>
          <t>Client</t>
        </is>
      </c>
      <c r="D442" t="inlineStr">
        <is>
          <t>Mukkbo</t>
        </is>
      </c>
      <c r="E442" t="n">
        <v>1</v>
      </c>
      <c r="F442" t="inlineStr">
        <is>
          <t>OFF</t>
        </is>
      </c>
    </row>
    <row r="443">
      <c r="A443" t="inlineStr">
        <is>
          <t>2026-09-25</t>
        </is>
      </c>
      <c r="B443" t="inlineStr">
        <is>
          <t>Fri</t>
        </is>
      </c>
      <c r="C443" t="inlineStr">
        <is>
          <t>Client</t>
        </is>
      </c>
      <c r="D443" t="inlineStr">
        <is>
          <t>Mukkbo</t>
        </is>
      </c>
      <c r="E443" t="n">
        <v>2</v>
      </c>
      <c r="F443" t="inlineStr">
        <is>
          <t>OFF</t>
        </is>
      </c>
    </row>
    <row r="444">
      <c r="A444" t="inlineStr">
        <is>
          <t>2026-09-25</t>
        </is>
      </c>
      <c r="B444" t="inlineStr">
        <is>
          <t>Fri</t>
        </is>
      </c>
      <c r="C444" t="inlineStr">
        <is>
          <t>Client</t>
        </is>
      </c>
      <c r="D444" t="inlineStr">
        <is>
          <t>Munjin</t>
        </is>
      </c>
      <c r="E444" t="n">
        <v>1</v>
      </c>
      <c r="F444" t="inlineStr">
        <is>
          <t>OFF</t>
        </is>
      </c>
    </row>
    <row r="445">
      <c r="A445" t="inlineStr">
        <is>
          <t>2026-09-25</t>
        </is>
      </c>
      <c r="B445" t="inlineStr">
        <is>
          <t>Fri</t>
        </is>
      </c>
      <c r="C445" t="inlineStr">
        <is>
          <t>Client</t>
        </is>
      </c>
      <c r="D445" t="inlineStr">
        <is>
          <t>Neburegi</t>
        </is>
      </c>
      <c r="E445" t="n">
        <v>1</v>
      </c>
      <c r="F445" t="inlineStr">
        <is>
          <t>OFF</t>
        </is>
      </c>
    </row>
    <row r="446">
      <c r="A446" t="inlineStr">
        <is>
          <t>2026-09-25</t>
        </is>
      </c>
      <c r="B446" t="inlineStr">
        <is>
          <t>Fri</t>
        </is>
      </c>
      <c r="C446" t="inlineStr">
        <is>
          <t>Client</t>
        </is>
      </c>
      <c r="D446" t="inlineStr">
        <is>
          <t>Olleh</t>
        </is>
      </c>
      <c r="E446" t="n">
        <v>1</v>
      </c>
      <c r="F446" t="inlineStr">
        <is>
          <t>OFF</t>
        </is>
      </c>
    </row>
    <row r="447">
      <c r="A447" t="inlineStr">
        <is>
          <t>2026-09-25</t>
        </is>
      </c>
      <c r="B447" t="inlineStr">
        <is>
          <t>Fri</t>
        </is>
      </c>
      <c r="C447" t="inlineStr">
        <is>
          <t>Client</t>
        </is>
      </c>
      <c r="D447" t="inlineStr">
        <is>
          <t>Olleh</t>
        </is>
      </c>
      <c r="E447" t="n">
        <v>2</v>
      </c>
      <c r="F447" t="inlineStr">
        <is>
          <t>23:00-11:00</t>
        </is>
      </c>
      <c r="G447" t="inlineStr">
        <is>
          <t>JM Racca</t>
        </is>
      </c>
      <c r="H447" t="inlineStr">
        <is>
          <t>Ivory Tower</t>
        </is>
      </c>
    </row>
    <row r="448">
      <c r="A448" t="inlineStr">
        <is>
          <t>2026-09-25</t>
        </is>
      </c>
      <c r="B448" t="inlineStr">
        <is>
          <t>Fri</t>
        </is>
      </c>
      <c r="C448" t="inlineStr">
        <is>
          <t>Client</t>
        </is>
      </c>
      <c r="D448" t="inlineStr">
        <is>
          <t>Perez</t>
        </is>
      </c>
      <c r="E448" t="n">
        <v>1</v>
      </c>
      <c r="F448" t="inlineStr">
        <is>
          <t>08:00-16:00</t>
        </is>
      </c>
      <c r="G448" t="inlineStr">
        <is>
          <t>Samantha</t>
        </is>
      </c>
    </row>
    <row r="449">
      <c r="A449" t="inlineStr">
        <is>
          <t>2026-09-25</t>
        </is>
      </c>
      <c r="B449" t="inlineStr">
        <is>
          <t>Fri</t>
        </is>
      </c>
      <c r="C449" t="inlineStr">
        <is>
          <t>Client</t>
        </is>
      </c>
      <c r="D449" t="inlineStr">
        <is>
          <t>Perez</t>
        </is>
      </c>
      <c r="E449" t="n">
        <v>2</v>
      </c>
      <c r="F449" t="inlineStr">
        <is>
          <t>13:00-21:00</t>
        </is>
      </c>
      <c r="G449" t="inlineStr">
        <is>
          <t>David Ayag</t>
        </is>
      </c>
      <c r="H449" t="inlineStr">
        <is>
          <t>LAND OF FALLEN / SPATOY</t>
        </is>
      </c>
    </row>
    <row r="450">
      <c r="A450" t="inlineStr">
        <is>
          <t>2026-09-25</t>
        </is>
      </c>
      <c r="B450" t="inlineStr">
        <is>
          <t>Fri</t>
        </is>
      </c>
      <c r="C450" t="inlineStr">
        <is>
          <t>Client</t>
        </is>
      </c>
      <c r="D450" t="inlineStr">
        <is>
          <t>Perez</t>
        </is>
      </c>
      <c r="E450" t="n">
        <v>3</v>
      </c>
      <c r="F450" t="inlineStr">
        <is>
          <t>21:00-05:00</t>
        </is>
      </c>
      <c r="G450" t="inlineStr">
        <is>
          <t>Zenron</t>
        </is>
      </c>
      <c r="H450" t="inlineStr">
        <is>
          <t>Abandon Land</t>
        </is>
      </c>
    </row>
    <row r="451">
      <c r="A451" t="inlineStr">
        <is>
          <t>2026-09-25</t>
        </is>
      </c>
      <c r="B451" t="inlineStr">
        <is>
          <t>Fri</t>
        </is>
      </c>
      <c r="C451" t="inlineStr">
        <is>
          <t>Client</t>
        </is>
      </c>
      <c r="D451" t="inlineStr">
        <is>
          <t>Power20</t>
        </is>
      </c>
      <c r="E451" t="n">
        <v>1</v>
      </c>
      <c r="F451" t="inlineStr">
        <is>
          <t>10:00-20:00</t>
        </is>
      </c>
      <c r="G451" t="inlineStr">
        <is>
          <t>Isiah</t>
        </is>
      </c>
    </row>
    <row r="452">
      <c r="A452" t="inlineStr">
        <is>
          <t>2026-09-25</t>
        </is>
      </c>
      <c r="B452" t="inlineStr">
        <is>
          <t>Fri</t>
        </is>
      </c>
      <c r="C452" t="inlineStr">
        <is>
          <t>Client</t>
        </is>
      </c>
      <c r="D452" t="inlineStr">
        <is>
          <t>Power20</t>
        </is>
      </c>
      <c r="E452" t="n">
        <v>2</v>
      </c>
      <c r="F452" t="inlineStr">
        <is>
          <t>OFF</t>
        </is>
      </c>
    </row>
    <row r="453">
      <c r="A453" t="inlineStr">
        <is>
          <t>2026-09-25</t>
        </is>
      </c>
      <c r="B453" t="inlineStr">
        <is>
          <t>Fri</t>
        </is>
      </c>
      <c r="C453" t="inlineStr">
        <is>
          <t>Client</t>
        </is>
      </c>
      <c r="D453" t="inlineStr">
        <is>
          <t>Power20</t>
        </is>
      </c>
      <c r="E453" t="n">
        <v>3</v>
      </c>
      <c r="F453" t="inlineStr">
        <is>
          <t>02:00-10:00</t>
        </is>
      </c>
      <c r="G453" t="inlineStr">
        <is>
          <t>Roderick</t>
        </is>
      </c>
      <c r="H453" t="inlineStr">
        <is>
          <t>Ivory Tower</t>
        </is>
      </c>
    </row>
    <row r="454">
      <c r="A454" t="inlineStr">
        <is>
          <t>2026-09-25</t>
        </is>
      </c>
      <c r="B454" t="inlineStr">
        <is>
          <t>Fri</t>
        </is>
      </c>
      <c r="C454" t="inlineStr">
        <is>
          <t>Client</t>
        </is>
      </c>
      <c r="D454" t="inlineStr">
        <is>
          <t>Real Madrid</t>
        </is>
      </c>
      <c r="E454" t="n">
        <v>1</v>
      </c>
      <c r="F454" t="inlineStr">
        <is>
          <t>24:00-08:00</t>
        </is>
      </c>
      <c r="G454" t="inlineStr">
        <is>
          <t>Mark Valdez</t>
        </is>
      </c>
      <c r="H454" t="inlineStr">
        <is>
          <t>Ivory Tower</t>
        </is>
      </c>
    </row>
    <row r="455">
      <c r="A455" t="inlineStr">
        <is>
          <t>2026-09-25</t>
        </is>
      </c>
      <c r="B455" t="inlineStr">
        <is>
          <t>Fri</t>
        </is>
      </c>
      <c r="C455" t="inlineStr">
        <is>
          <t>Client</t>
        </is>
      </c>
      <c r="D455" t="inlineStr">
        <is>
          <t>Real Madrid</t>
        </is>
      </c>
      <c r="E455" t="n">
        <v>2</v>
      </c>
      <c r="F455" t="inlineStr">
        <is>
          <t>OFF</t>
        </is>
      </c>
      <c r="H455" t="inlineStr">
        <is>
          <t>Ivory Tower</t>
        </is>
      </c>
    </row>
    <row r="456">
      <c r="A456" t="inlineStr">
        <is>
          <t>2026-09-25</t>
        </is>
      </c>
      <c r="B456" t="inlineStr">
        <is>
          <t>Fri</t>
        </is>
      </c>
      <c r="C456" t="inlineStr">
        <is>
          <t>Client</t>
        </is>
      </c>
      <c r="D456" t="inlineStr">
        <is>
          <t>Real Madrid</t>
        </is>
      </c>
      <c r="E456" t="n">
        <v>3</v>
      </c>
      <c r="F456" t="inlineStr">
        <is>
          <t>OFF</t>
        </is>
      </c>
    </row>
    <row r="457">
      <c r="A457" t="inlineStr">
        <is>
          <t>2026-09-25</t>
        </is>
      </c>
      <c r="B457" t="inlineStr">
        <is>
          <t>Fri</t>
        </is>
      </c>
      <c r="C457" t="inlineStr">
        <is>
          <t>Client</t>
        </is>
      </c>
      <c r="D457" t="inlineStr">
        <is>
          <t>Return</t>
        </is>
      </c>
      <c r="E457" t="n">
        <v>1</v>
      </c>
      <c r="F457" t="inlineStr">
        <is>
          <t>03:00-11:00</t>
        </is>
      </c>
      <c r="G457" t="inlineStr">
        <is>
          <t>Monteza</t>
        </is>
      </c>
      <c r="H457" t="inlineStr">
        <is>
          <t>Ivory Tower</t>
        </is>
      </c>
    </row>
    <row r="458">
      <c r="A458" t="inlineStr">
        <is>
          <t>2026-09-25</t>
        </is>
      </c>
      <c r="B458" t="inlineStr">
        <is>
          <t>Fri</t>
        </is>
      </c>
      <c r="C458" t="inlineStr">
        <is>
          <t>Client</t>
        </is>
      </c>
      <c r="D458" t="inlineStr">
        <is>
          <t>Road</t>
        </is>
      </c>
      <c r="E458" t="n">
        <v>1</v>
      </c>
      <c r="F458" t="inlineStr">
        <is>
          <t>OFF</t>
        </is>
      </c>
    </row>
    <row r="459">
      <c r="A459" t="inlineStr">
        <is>
          <t>2026-09-25</t>
        </is>
      </c>
      <c r="B459" t="inlineStr">
        <is>
          <t>Fri</t>
        </is>
      </c>
      <c r="C459" t="inlineStr">
        <is>
          <t>Client</t>
        </is>
      </c>
      <c r="D459" t="inlineStr">
        <is>
          <t>SSEN</t>
        </is>
      </c>
      <c r="E459" t="n">
        <v>1</v>
      </c>
      <c r="F459" t="inlineStr">
        <is>
          <t>07:00-19:00</t>
        </is>
      </c>
      <c r="G459" t="inlineStr">
        <is>
          <t>Christelle</t>
        </is>
      </c>
    </row>
    <row r="460">
      <c r="A460" t="inlineStr">
        <is>
          <t>2026-09-25</t>
        </is>
      </c>
      <c r="B460" t="inlineStr">
        <is>
          <t>Fri</t>
        </is>
      </c>
      <c r="C460" t="inlineStr">
        <is>
          <t>Client</t>
        </is>
      </c>
      <c r="D460" t="inlineStr">
        <is>
          <t>Tiger</t>
        </is>
      </c>
      <c r="E460" t="n">
        <v>1</v>
      </c>
      <c r="F460" t="inlineStr">
        <is>
          <t>OFF</t>
        </is>
      </c>
    </row>
    <row r="461">
      <c r="A461" t="inlineStr">
        <is>
          <t>2026-09-25</t>
        </is>
      </c>
      <c r="B461" t="inlineStr">
        <is>
          <t>Fri</t>
        </is>
      </c>
      <c r="C461" t="inlineStr">
        <is>
          <t>Client</t>
        </is>
      </c>
      <c r="D461" t="inlineStr">
        <is>
          <t>Tiger</t>
        </is>
      </c>
      <c r="E461" t="n">
        <v>2</v>
      </c>
      <c r="F461" t="inlineStr">
        <is>
          <t>OFF</t>
        </is>
      </c>
      <c r="H461" t="inlineStr">
        <is>
          <t>Ivory Tower</t>
        </is>
      </c>
    </row>
    <row r="462">
      <c r="A462" t="inlineStr">
        <is>
          <t>2026-09-25</t>
        </is>
      </c>
      <c r="B462" t="inlineStr">
        <is>
          <t>Fri</t>
        </is>
      </c>
      <c r="C462" t="inlineStr">
        <is>
          <t>Client</t>
        </is>
      </c>
      <c r="D462" t="inlineStr">
        <is>
          <t>Yeoseo</t>
        </is>
      </c>
      <c r="E462" t="n">
        <v>1</v>
      </c>
      <c r="F462" t="inlineStr">
        <is>
          <t>OFF</t>
        </is>
      </c>
      <c r="H462" t="inlineStr">
        <is>
          <t>abandoned land 3
a land of corruption5</t>
        </is>
      </c>
      <c r="K462" t="inlineStr">
        <is>
          <t>E-Potion O</t>
        </is>
      </c>
      <c r="L462" t="inlineStr">
        <is>
          <t>555 buff</t>
        </is>
      </c>
      <c r="M462" t="inlineStr">
        <is>
          <t>Shield, Armour O</t>
        </is>
      </c>
    </row>
    <row r="463">
      <c r="A463" t="inlineStr">
        <is>
          <t>2026-09-25</t>
        </is>
      </c>
      <c r="B463" t="inlineStr">
        <is>
          <t>Fri</t>
        </is>
      </c>
      <c r="C463" t="inlineStr">
        <is>
          <t>Client</t>
        </is>
      </c>
      <c r="D463" t="inlineStr">
        <is>
          <t>Zombie</t>
        </is>
      </c>
      <c r="E463" t="n">
        <v>1</v>
      </c>
      <c r="F463" t="inlineStr">
        <is>
          <t>OFF</t>
        </is>
      </c>
    </row>
    <row r="464">
      <c r="A464" t="inlineStr">
        <is>
          <t>2026-09-25</t>
        </is>
      </c>
      <c r="B464" t="inlineStr">
        <is>
          <t>Fri</t>
        </is>
      </c>
      <c r="C464" t="inlineStr">
        <is>
          <t>Client</t>
        </is>
      </c>
      <c r="D464" t="inlineStr">
        <is>
          <t>Zombie</t>
        </is>
      </c>
      <c r="E464" t="n">
        <v>2</v>
      </c>
      <c r="F464" t="inlineStr">
        <is>
          <t>OFF</t>
        </is>
      </c>
    </row>
    <row r="465">
      <c r="A465" t="inlineStr">
        <is>
          <t>2026-09-25</t>
        </is>
      </c>
      <c r="B465" t="inlineStr">
        <is>
          <t>Fri</t>
        </is>
      </c>
      <c r="C465" t="inlineStr">
        <is>
          <t>Client</t>
        </is>
      </c>
      <c r="D465" t="inlineStr">
        <is>
          <t>Zombie</t>
        </is>
      </c>
      <c r="E465" t="n">
        <v>3</v>
      </c>
      <c r="F465" t="inlineStr">
        <is>
          <t>OFF</t>
        </is>
      </c>
      <c r="H465" t="inlineStr">
        <is>
          <t>Ivory Tower</t>
        </is>
      </c>
    </row>
    <row r="466">
      <c r="A466" t="inlineStr">
        <is>
          <t>2026-09-25</t>
        </is>
      </c>
      <c r="B466" t="inlineStr">
        <is>
          <t>Fri</t>
        </is>
      </c>
      <c r="C466" t="inlineStr">
        <is>
          <t>Farming</t>
        </is>
      </c>
      <c r="D466" t="inlineStr">
        <is>
          <t>Kangaroo</t>
        </is>
      </c>
      <c r="E466" t="n">
        <v>1</v>
      </c>
      <c r="F466" t="inlineStr">
        <is>
          <t>08:00-16:00</t>
        </is>
      </c>
      <c r="G466" t="inlineStr">
        <is>
          <t>Jan Nino</t>
        </is>
      </c>
      <c r="H466" t="inlineStr">
        <is>
          <t>Corrupted Land</t>
        </is>
      </c>
      <c r="I466" t="inlineStr">
        <is>
          <t>↓</t>
        </is>
      </c>
      <c r="J466" t="inlineStr">
        <is>
          <t>↓</t>
        </is>
      </c>
      <c r="K466" t="inlineStr">
        <is>
          <t>↓</t>
        </is>
      </c>
      <c r="L466" t="inlineStr">
        <is>
          <t>↓</t>
        </is>
      </c>
      <c r="M466" t="inlineStr">
        <is>
          <t>↓</t>
        </is>
      </c>
    </row>
    <row r="467">
      <c r="A467" t="inlineStr">
        <is>
          <t>2026-09-25</t>
        </is>
      </c>
      <c r="B467" t="inlineStr">
        <is>
          <t>Fri</t>
        </is>
      </c>
      <c r="C467" t="inlineStr">
        <is>
          <t>Farming</t>
        </is>
      </c>
      <c r="D467" t="inlineStr">
        <is>
          <t>Kangaroo</t>
        </is>
      </c>
      <c r="E467" t="n">
        <v>2</v>
      </c>
      <c r="F467" t="inlineStr">
        <is>
          <t>16:00-24:00</t>
        </is>
      </c>
      <c r="G467" t="inlineStr">
        <is>
          <t>Jan Nino</t>
        </is>
      </c>
      <c r="H467" t="inlineStr">
        <is>
          <t>Corrupted Land</t>
        </is>
      </c>
    </row>
    <row r="468">
      <c r="A468" t="inlineStr">
        <is>
          <t>2026-09-25</t>
        </is>
      </c>
      <c r="B468" t="inlineStr">
        <is>
          <t>Fri</t>
        </is>
      </c>
      <c r="C468" t="inlineStr">
        <is>
          <t>Farming</t>
        </is>
      </c>
      <c r="D468" t="inlineStr">
        <is>
          <t>Kangaroo</t>
        </is>
      </c>
      <c r="E468" t="n">
        <v>3</v>
      </c>
      <c r="F468" t="inlineStr">
        <is>
          <t>24:00-08:00</t>
        </is>
      </c>
      <c r="G468" t="inlineStr">
        <is>
          <t>Chester</t>
        </is>
      </c>
      <c r="H468" t="inlineStr">
        <is>
          <t>Corrupted Land</t>
        </is>
      </c>
    </row>
    <row r="469">
      <c r="A469" t="inlineStr">
        <is>
          <t>2026-09-25</t>
        </is>
      </c>
      <c r="B469" t="inlineStr">
        <is>
          <t>Fri</t>
        </is>
      </c>
      <c r="C469" t="inlineStr">
        <is>
          <t>Farming</t>
        </is>
      </c>
      <c r="D469" t="inlineStr">
        <is>
          <t>Kyoryu</t>
        </is>
      </c>
      <c r="E469" t="n">
        <v>1</v>
      </c>
      <c r="F469" t="inlineStr">
        <is>
          <t>08:00-16:00</t>
        </is>
      </c>
    </row>
    <row r="470">
      <c r="A470" t="inlineStr">
        <is>
          <t>2026-09-25</t>
        </is>
      </c>
      <c r="B470" t="inlineStr">
        <is>
          <t>Fri</t>
        </is>
      </c>
      <c r="C470" t="inlineStr">
        <is>
          <t>Farming</t>
        </is>
      </c>
      <c r="D470" t="inlineStr">
        <is>
          <t>Kyoryu</t>
        </is>
      </c>
      <c r="E470" t="n">
        <v>2</v>
      </c>
      <c r="F470" t="inlineStr">
        <is>
          <t>16:00-24:00</t>
        </is>
      </c>
      <c r="G470" t="inlineStr">
        <is>
          <t>Adrian Torres</t>
        </is>
      </c>
      <c r="H470" t="inlineStr">
        <is>
          <t>ELMORE &amp; DD</t>
        </is>
      </c>
    </row>
    <row r="471">
      <c r="A471" t="inlineStr">
        <is>
          <t>2026-09-25</t>
        </is>
      </c>
      <c r="B471" t="inlineStr">
        <is>
          <t>Fri</t>
        </is>
      </c>
      <c r="C471" t="inlineStr">
        <is>
          <t>Farming</t>
        </is>
      </c>
      <c r="D471" t="inlineStr">
        <is>
          <t>Kyoryu</t>
        </is>
      </c>
      <c r="E471" t="n">
        <v>3</v>
      </c>
      <c r="F471" t="inlineStr">
        <is>
          <t>24:00-08:00</t>
        </is>
      </c>
      <c r="G471" t="inlineStr">
        <is>
          <t>Raymond</t>
        </is>
      </c>
      <c r="H471" t="inlineStr">
        <is>
          <t>Elmore</t>
        </is>
      </c>
    </row>
    <row r="472">
      <c r="A472" t="inlineStr">
        <is>
          <t>2026-09-25</t>
        </is>
      </c>
      <c r="B472" t="inlineStr">
        <is>
          <t>Fri</t>
        </is>
      </c>
      <c r="C472" t="inlineStr">
        <is>
          <t>Farming</t>
        </is>
      </c>
      <c r="D472" t="inlineStr">
        <is>
          <t>Marcelo</t>
        </is>
      </c>
      <c r="E472" t="n">
        <v>1</v>
      </c>
      <c r="F472" t="inlineStr">
        <is>
          <t>08:00-16:00</t>
        </is>
      </c>
    </row>
    <row r="473">
      <c r="A473" t="inlineStr">
        <is>
          <t>2026-09-25</t>
        </is>
      </c>
      <c r="B473" t="inlineStr">
        <is>
          <t>Fri</t>
        </is>
      </c>
      <c r="C473" t="inlineStr">
        <is>
          <t>Farming</t>
        </is>
      </c>
      <c r="D473" t="inlineStr">
        <is>
          <t>Marcelo</t>
        </is>
      </c>
      <c r="E473" t="n">
        <v>2</v>
      </c>
      <c r="F473" t="inlineStr">
        <is>
          <t>16:00-24:00</t>
        </is>
      </c>
      <c r="H473" t="inlineStr">
        <is>
          <t>ELMORE &amp; DD</t>
        </is>
      </c>
    </row>
    <row r="474">
      <c r="A474" t="inlineStr">
        <is>
          <t>2026-09-25</t>
        </is>
      </c>
      <c r="B474" t="inlineStr">
        <is>
          <t>Fri</t>
        </is>
      </c>
      <c r="C474" t="inlineStr">
        <is>
          <t>Farming</t>
        </is>
      </c>
      <c r="D474" t="inlineStr">
        <is>
          <t>Marcelo</t>
        </is>
      </c>
      <c r="E474" t="n">
        <v>3</v>
      </c>
      <c r="F474" t="inlineStr">
        <is>
          <t>24:00-08:00</t>
        </is>
      </c>
      <c r="G474" t="inlineStr">
        <is>
          <t>Lourence</t>
        </is>
      </c>
      <c r="H474" t="inlineStr">
        <is>
          <t>Elmore</t>
        </is>
      </c>
    </row>
    <row r="475">
      <c r="A475" t="inlineStr">
        <is>
          <t>2026-09-25</t>
        </is>
      </c>
      <c r="B475" t="inlineStr">
        <is>
          <t>Fri</t>
        </is>
      </c>
      <c r="C475" t="inlineStr">
        <is>
          <t>Farming</t>
        </is>
      </c>
      <c r="D475" t="inlineStr">
        <is>
          <t>OldBlood</t>
        </is>
      </c>
      <c r="E475" t="n">
        <v>1</v>
      </c>
      <c r="F475" t="inlineStr">
        <is>
          <t>24:00-08:00</t>
        </is>
      </c>
    </row>
    <row r="476">
      <c r="A476" t="inlineStr">
        <is>
          <t>2026-09-25</t>
        </is>
      </c>
      <c r="B476" t="inlineStr">
        <is>
          <t>Fri</t>
        </is>
      </c>
      <c r="C476" t="inlineStr">
        <is>
          <t>Farming</t>
        </is>
      </c>
      <c r="D476" t="inlineStr">
        <is>
          <t>Pele</t>
        </is>
      </c>
      <c r="E476" t="n">
        <v>1</v>
      </c>
      <c r="F476" t="inlineStr">
        <is>
          <t>08:00-16:00</t>
        </is>
      </c>
    </row>
    <row r="477">
      <c r="A477" t="inlineStr">
        <is>
          <t>2026-09-25</t>
        </is>
      </c>
      <c r="B477" t="inlineStr">
        <is>
          <t>Fri</t>
        </is>
      </c>
      <c r="C477" t="inlineStr">
        <is>
          <t>Farming</t>
        </is>
      </c>
      <c r="D477" t="inlineStr">
        <is>
          <t>Pele</t>
        </is>
      </c>
      <c r="E477" t="n">
        <v>2</v>
      </c>
      <c r="F477" t="inlineStr">
        <is>
          <t>16:00-24:00</t>
        </is>
      </c>
      <c r="H477" t="inlineStr">
        <is>
          <t>ANT &amp; ELMORE</t>
        </is>
      </c>
    </row>
    <row r="478">
      <c r="A478" t="inlineStr">
        <is>
          <t>2026-09-25</t>
        </is>
      </c>
      <c r="B478" t="inlineStr">
        <is>
          <t>Fri</t>
        </is>
      </c>
      <c r="C478" t="inlineStr">
        <is>
          <t>Farming</t>
        </is>
      </c>
      <c r="D478" t="inlineStr">
        <is>
          <t>Pele</t>
        </is>
      </c>
      <c r="E478" t="n">
        <v>3</v>
      </c>
      <c r="F478" t="inlineStr">
        <is>
          <t>24:00-08:00</t>
        </is>
      </c>
      <c r="G478" t="inlineStr">
        <is>
          <t>Rodel</t>
        </is>
      </c>
      <c r="H478" t="inlineStr">
        <is>
          <t>ELMORE</t>
        </is>
      </c>
    </row>
    <row r="479">
      <c r="A479" t="inlineStr">
        <is>
          <t>2026-09-25</t>
        </is>
      </c>
      <c r="B479" t="inlineStr">
        <is>
          <t>Fri</t>
        </is>
      </c>
      <c r="C479" t="inlineStr">
        <is>
          <t>Farming</t>
        </is>
      </c>
      <c r="D479" t="inlineStr">
        <is>
          <t>Ronaldo</t>
        </is>
      </c>
      <c r="E479" t="n">
        <v>1</v>
      </c>
      <c r="F479" t="inlineStr">
        <is>
          <t>08:00-13:00</t>
        </is>
      </c>
      <c r="I479" t="inlineStr">
        <is>
          <t>-</t>
        </is>
      </c>
    </row>
    <row r="480">
      <c r="A480" t="inlineStr">
        <is>
          <t>2026-09-25</t>
        </is>
      </c>
      <c r="B480" t="inlineStr">
        <is>
          <t>Fri</t>
        </is>
      </c>
      <c r="C480" t="inlineStr">
        <is>
          <t>Farming</t>
        </is>
      </c>
      <c r="D480" t="inlineStr">
        <is>
          <t>Ronaldo</t>
        </is>
      </c>
      <c r="E480" t="n">
        <v>2</v>
      </c>
      <c r="F480" t="inlineStr">
        <is>
          <t>16:00-24:00</t>
        </is>
      </c>
      <c r="G480" t="inlineStr">
        <is>
          <t>Jefferson</t>
        </is>
      </c>
      <c r="H480" t="inlineStr">
        <is>
          <t>Ivory Tower 4~5</t>
        </is>
      </c>
    </row>
    <row r="481">
      <c r="A481" t="inlineStr">
        <is>
          <t>2026-09-25</t>
        </is>
      </c>
      <c r="B481" t="inlineStr">
        <is>
          <t>Fri</t>
        </is>
      </c>
      <c r="C481" t="inlineStr">
        <is>
          <t>Farming</t>
        </is>
      </c>
      <c r="D481" t="inlineStr">
        <is>
          <t>Ronaldo</t>
        </is>
      </c>
      <c r="E481" t="n">
        <v>3</v>
      </c>
      <c r="F481" t="inlineStr">
        <is>
          <t>24:00-08:00</t>
        </is>
      </c>
      <c r="G481" t="inlineStr">
        <is>
          <t>Joseph Racca</t>
        </is>
      </c>
      <c r="H481" t="inlineStr">
        <is>
          <t>Ivory flr4&amp;5</t>
        </is>
      </c>
    </row>
    <row r="482">
      <c r="A482" t="inlineStr">
        <is>
          <t>2026-09-25</t>
        </is>
      </c>
      <c r="B482" t="inlineStr">
        <is>
          <t>Fri</t>
        </is>
      </c>
      <c r="C482" t="inlineStr">
        <is>
          <t>Farming</t>
        </is>
      </c>
      <c r="D482" t="inlineStr">
        <is>
          <t>Sarim</t>
        </is>
      </c>
      <c r="E482" t="n">
        <v>1</v>
      </c>
      <c r="F482" t="inlineStr">
        <is>
          <t>08:00-16:00</t>
        </is>
      </c>
    </row>
    <row r="483">
      <c r="A483" t="inlineStr">
        <is>
          <t>2026-09-25</t>
        </is>
      </c>
      <c r="B483" t="inlineStr">
        <is>
          <t>Fri</t>
        </is>
      </c>
      <c r="C483" t="inlineStr">
        <is>
          <t>Farming</t>
        </is>
      </c>
      <c r="D483" t="inlineStr">
        <is>
          <t>Sarim</t>
        </is>
      </c>
      <c r="E483" t="n">
        <v>2</v>
      </c>
      <c r="F483" t="inlineStr">
        <is>
          <t>16:00-24:00</t>
        </is>
      </c>
      <c r="G483" t="inlineStr">
        <is>
          <t>Jay Penilla</t>
        </is>
      </c>
      <c r="H483" t="inlineStr">
        <is>
          <t>ELMORE &amp; DD</t>
        </is>
      </c>
    </row>
    <row r="484">
      <c r="A484" t="inlineStr">
        <is>
          <t>2026-09-25</t>
        </is>
      </c>
      <c r="B484" t="inlineStr">
        <is>
          <t>Fri</t>
        </is>
      </c>
      <c r="C484" t="inlineStr">
        <is>
          <t>Farming</t>
        </is>
      </c>
      <c r="D484" t="inlineStr">
        <is>
          <t>Sarim</t>
        </is>
      </c>
      <c r="E484" t="n">
        <v>3</v>
      </c>
      <c r="F484" t="inlineStr">
        <is>
          <t>24:00-08:00</t>
        </is>
      </c>
      <c r="G484" t="inlineStr">
        <is>
          <t>John Carlo</t>
        </is>
      </c>
      <c r="H484" t="inlineStr">
        <is>
          <t>Elmore</t>
        </is>
      </c>
    </row>
    <row r="485">
      <c r="A485" t="inlineStr">
        <is>
          <t>2026-09-25</t>
        </is>
      </c>
      <c r="B485" t="inlineStr">
        <is>
          <t>Fri</t>
        </is>
      </c>
      <c r="C485" t="inlineStr">
        <is>
          <t>Farming</t>
        </is>
      </c>
      <c r="D485" t="inlineStr">
        <is>
          <t>Sinsang</t>
        </is>
      </c>
      <c r="E485" t="n">
        <v>1</v>
      </c>
      <c r="F485" t="inlineStr">
        <is>
          <t>24:00-08:00</t>
        </is>
      </c>
    </row>
    <row r="486">
      <c r="A486" t="inlineStr">
        <is>
          <t>2026-09-25</t>
        </is>
      </c>
      <c r="B486" t="inlineStr">
        <is>
          <t>Fri</t>
        </is>
      </c>
      <c r="C486" t="inlineStr">
        <is>
          <t>Farming</t>
        </is>
      </c>
      <c r="D486" t="inlineStr">
        <is>
          <t>Sudden</t>
        </is>
      </c>
      <c r="E486" t="n">
        <v>1</v>
      </c>
      <c r="F486" t="inlineStr">
        <is>
          <t>08:00-16:00</t>
        </is>
      </c>
    </row>
    <row r="487">
      <c r="A487" t="inlineStr">
        <is>
          <t>2026-09-25</t>
        </is>
      </c>
      <c r="B487" t="inlineStr">
        <is>
          <t>Fri</t>
        </is>
      </c>
      <c r="C487" t="inlineStr">
        <is>
          <t>Farming</t>
        </is>
      </c>
      <c r="D487" t="inlineStr">
        <is>
          <t>Sudden</t>
        </is>
      </c>
      <c r="E487" t="n">
        <v>2</v>
      </c>
      <c r="F487" t="inlineStr">
        <is>
          <t>16:00-24:00</t>
        </is>
      </c>
      <c r="H487" t="inlineStr">
        <is>
          <t>ELMORE &amp; DD</t>
        </is>
      </c>
    </row>
    <row r="488">
      <c r="A488" t="inlineStr">
        <is>
          <t>2026-09-25</t>
        </is>
      </c>
      <c r="B488" t="inlineStr">
        <is>
          <t>Fri</t>
        </is>
      </c>
      <c r="C488" t="inlineStr">
        <is>
          <t>Farming</t>
        </is>
      </c>
      <c r="D488" t="inlineStr">
        <is>
          <t>Sudden</t>
        </is>
      </c>
      <c r="E488" t="n">
        <v>3</v>
      </c>
      <c r="F488" t="inlineStr">
        <is>
          <t>24:00-08:00</t>
        </is>
      </c>
      <c r="G488" t="inlineStr">
        <is>
          <t>Ehder Lhen</t>
        </is>
      </c>
      <c r="H488" t="inlineStr">
        <is>
          <t>Elmore</t>
        </is>
      </c>
    </row>
    <row r="489">
      <c r="A489" t="inlineStr">
        <is>
          <t>2026-09-25</t>
        </is>
      </c>
      <c r="B489" t="inlineStr">
        <is>
          <t>Fri</t>
        </is>
      </c>
      <c r="C489" t="inlineStr">
        <is>
          <t>Farming</t>
        </is>
      </c>
      <c r="D489" t="inlineStr">
        <is>
          <t>Sunsang</t>
        </is>
      </c>
      <c r="E489" t="n">
        <v>1</v>
      </c>
      <c r="F489" t="inlineStr">
        <is>
          <t>24:00-08:00</t>
        </is>
      </c>
    </row>
    <row r="490">
      <c r="A490" t="inlineStr">
        <is>
          <t>2026-09-25</t>
        </is>
      </c>
      <c r="B490" t="inlineStr">
        <is>
          <t>Fri</t>
        </is>
      </c>
      <c r="C490" t="inlineStr">
        <is>
          <t>Farming</t>
        </is>
      </c>
      <c r="D490" t="inlineStr">
        <is>
          <t>Sunsang</t>
        </is>
      </c>
      <c r="E490" t="n">
        <v>2</v>
      </c>
      <c r="F490" t="inlineStr">
        <is>
          <t>24:00-08:00</t>
        </is>
      </c>
    </row>
    <row r="491">
      <c r="A491" t="inlineStr">
        <is>
          <t>2026-09-25</t>
        </is>
      </c>
      <c r="B491" t="inlineStr">
        <is>
          <t>Fri</t>
        </is>
      </c>
      <c r="C491" t="inlineStr">
        <is>
          <t>Farming</t>
        </is>
      </c>
      <c r="D491" t="inlineStr">
        <is>
          <t>Taejo</t>
        </is>
      </c>
      <c r="E491" t="n">
        <v>1</v>
      </c>
      <c r="F491" t="inlineStr">
        <is>
          <t>08:00-16:00</t>
        </is>
      </c>
    </row>
    <row r="492">
      <c r="A492" t="inlineStr">
        <is>
          <t>2026-09-25</t>
        </is>
      </c>
      <c r="B492" t="inlineStr">
        <is>
          <t>Fri</t>
        </is>
      </c>
      <c r="C492" t="inlineStr">
        <is>
          <t>Farming</t>
        </is>
      </c>
      <c r="D492" t="inlineStr">
        <is>
          <t>Taejo</t>
        </is>
      </c>
      <c r="E492" t="n">
        <v>2</v>
      </c>
      <c r="F492" t="inlineStr">
        <is>
          <t>16:00-24:00</t>
        </is>
      </c>
      <c r="G492" t="inlineStr">
        <is>
          <t>Charles Bernades</t>
        </is>
      </c>
      <c r="H492" t="inlineStr">
        <is>
          <t>ELMORE &amp; DD</t>
        </is>
      </c>
    </row>
    <row r="493">
      <c r="A493" t="inlineStr">
        <is>
          <t>2026-09-25</t>
        </is>
      </c>
      <c r="B493" t="inlineStr">
        <is>
          <t>Fri</t>
        </is>
      </c>
      <c r="C493" t="inlineStr">
        <is>
          <t>Farming</t>
        </is>
      </c>
      <c r="D493" t="inlineStr">
        <is>
          <t>Taejo</t>
        </is>
      </c>
      <c r="E493" t="n">
        <v>3</v>
      </c>
      <c r="F493" t="inlineStr">
        <is>
          <t>24:00-08:00</t>
        </is>
      </c>
      <c r="G493" t="inlineStr">
        <is>
          <t>Lemark</t>
        </is>
      </c>
      <c r="H493" t="inlineStr">
        <is>
          <t>Elmore</t>
        </is>
      </c>
    </row>
    <row r="494">
      <c r="A494" t="inlineStr">
        <is>
          <t>2026-09-26</t>
        </is>
      </c>
      <c r="B494" t="inlineStr">
        <is>
          <t>Sat</t>
        </is>
      </c>
      <c r="C494" t="inlineStr">
        <is>
          <t>Client</t>
        </is>
      </c>
      <c r="D494" t="inlineStr">
        <is>
          <t>ADA</t>
        </is>
      </c>
      <c r="E494" t="n">
        <v>1</v>
      </c>
      <c r="F494" t="inlineStr">
        <is>
          <t>09:00-17:00</t>
        </is>
      </c>
      <c r="G494" t="inlineStr">
        <is>
          <t>Cejay</t>
        </is>
      </c>
    </row>
    <row r="495">
      <c r="A495" t="inlineStr">
        <is>
          <t>2026-09-26</t>
        </is>
      </c>
      <c r="B495" t="inlineStr">
        <is>
          <t>Sat</t>
        </is>
      </c>
      <c r="C495" t="inlineStr">
        <is>
          <t>Client</t>
        </is>
      </c>
      <c r="D495" t="inlineStr">
        <is>
          <t>ADA</t>
        </is>
      </c>
      <c r="E495" t="n">
        <v>2</v>
      </c>
      <c r="F495" t="inlineStr">
        <is>
          <t>OFF</t>
        </is>
      </c>
    </row>
    <row r="496">
      <c r="A496" t="inlineStr">
        <is>
          <t>2026-09-26</t>
        </is>
      </c>
      <c r="B496" t="inlineStr">
        <is>
          <t>Sat</t>
        </is>
      </c>
      <c r="C496" t="inlineStr">
        <is>
          <t>Client</t>
        </is>
      </c>
      <c r="D496" t="inlineStr">
        <is>
          <t>Alex</t>
        </is>
      </c>
      <c r="E496" t="n">
        <v>1</v>
      </c>
      <c r="F496" t="inlineStr">
        <is>
          <t>11:30-16:00</t>
        </is>
      </c>
      <c r="H496" t="inlineStr">
        <is>
          <t>Ivory Tower 4~5</t>
        </is>
      </c>
    </row>
    <row r="497">
      <c r="A497" t="inlineStr">
        <is>
          <t>2026-09-26</t>
        </is>
      </c>
      <c r="B497" t="inlineStr">
        <is>
          <t>Sat</t>
        </is>
      </c>
      <c r="C497" t="inlineStr">
        <is>
          <t>Client</t>
        </is>
      </c>
      <c r="D497" t="inlineStr">
        <is>
          <t>Alex</t>
        </is>
      </c>
      <c r="E497" t="n">
        <v>2</v>
      </c>
      <c r="F497" t="inlineStr">
        <is>
          <t>16:00-24:00</t>
        </is>
      </c>
      <c r="H497" t="inlineStr">
        <is>
          <t>Ivory Tower 6~7</t>
        </is>
      </c>
    </row>
    <row r="498">
      <c r="A498" t="inlineStr">
        <is>
          <t>2026-09-26</t>
        </is>
      </c>
      <c r="B498" t="inlineStr">
        <is>
          <t>Sat</t>
        </is>
      </c>
      <c r="C498" t="inlineStr">
        <is>
          <t>Client</t>
        </is>
      </c>
      <c r="D498" t="inlineStr">
        <is>
          <t>Alex</t>
        </is>
      </c>
      <c r="E498" t="n">
        <v>3</v>
      </c>
      <c r="F498" t="inlineStr">
        <is>
          <t>24:00-08:00</t>
        </is>
      </c>
      <c r="H498" t="inlineStr">
        <is>
          <t>Ivory Tower 4~5</t>
        </is>
      </c>
    </row>
    <row r="499">
      <c r="A499" t="inlineStr">
        <is>
          <t>2026-09-26</t>
        </is>
      </c>
      <c r="B499" t="inlineStr">
        <is>
          <t>Sat</t>
        </is>
      </c>
      <c r="C499" t="inlineStr">
        <is>
          <t>Client</t>
        </is>
      </c>
      <c r="D499" t="inlineStr">
        <is>
          <t>Beongaebul</t>
        </is>
      </c>
      <c r="E499" t="n">
        <v>1</v>
      </c>
      <c r="F499" t="inlineStr">
        <is>
          <t>01:00-09:00</t>
        </is>
      </c>
      <c r="G499" t="inlineStr">
        <is>
          <t>Raul</t>
        </is>
      </c>
    </row>
    <row r="500">
      <c r="A500" t="inlineStr">
        <is>
          <t>2026-09-26</t>
        </is>
      </c>
      <c r="B500" t="inlineStr">
        <is>
          <t>Sat</t>
        </is>
      </c>
      <c r="C500" t="inlineStr">
        <is>
          <t>Client</t>
        </is>
      </c>
      <c r="D500" t="inlineStr">
        <is>
          <t>Captain</t>
        </is>
      </c>
      <c r="E500" t="n">
        <v>1</v>
      </c>
      <c r="F500" t="inlineStr">
        <is>
          <t>OFF</t>
        </is>
      </c>
    </row>
    <row r="501">
      <c r="A501" t="inlineStr">
        <is>
          <t>2026-09-26</t>
        </is>
      </c>
      <c r="B501" t="inlineStr">
        <is>
          <t>Sat</t>
        </is>
      </c>
      <c r="C501" t="inlineStr">
        <is>
          <t>Client</t>
        </is>
      </c>
      <c r="D501" t="inlineStr">
        <is>
          <t>Captain</t>
        </is>
      </c>
      <c r="E501" t="n">
        <v>2</v>
      </c>
      <c r="F501" t="inlineStr">
        <is>
          <t>OFF</t>
        </is>
      </c>
    </row>
    <row r="502">
      <c r="A502" t="inlineStr">
        <is>
          <t>2026-09-26</t>
        </is>
      </c>
      <c r="B502" t="inlineStr">
        <is>
          <t>Sat</t>
        </is>
      </c>
      <c r="C502" t="inlineStr">
        <is>
          <t>Client</t>
        </is>
      </c>
      <c r="D502" t="inlineStr">
        <is>
          <t>Dalo</t>
        </is>
      </c>
      <c r="E502" t="n">
        <v>1</v>
      </c>
      <c r="F502" t="inlineStr">
        <is>
          <t>OFF</t>
        </is>
      </c>
    </row>
    <row r="503">
      <c r="A503" t="inlineStr">
        <is>
          <t>2026-09-26</t>
        </is>
      </c>
      <c r="B503" t="inlineStr">
        <is>
          <t>Sat</t>
        </is>
      </c>
      <c r="C503" t="inlineStr">
        <is>
          <t>Client</t>
        </is>
      </c>
      <c r="D503" t="inlineStr">
        <is>
          <t>Dalo</t>
        </is>
      </c>
      <c r="E503" t="n">
        <v>2</v>
      </c>
      <c r="F503" t="inlineStr">
        <is>
          <t>OFF</t>
        </is>
      </c>
    </row>
    <row r="504">
      <c r="A504" t="inlineStr">
        <is>
          <t>2026-09-26</t>
        </is>
      </c>
      <c r="B504" t="inlineStr">
        <is>
          <t>Sat</t>
        </is>
      </c>
      <c r="C504" t="inlineStr">
        <is>
          <t>Client</t>
        </is>
      </c>
      <c r="D504" t="inlineStr">
        <is>
          <t>Dalo</t>
        </is>
      </c>
      <c r="E504" t="n">
        <v>3</v>
      </c>
      <c r="F504" t="inlineStr">
        <is>
          <t>OFF</t>
        </is>
      </c>
    </row>
    <row r="505">
      <c r="A505" t="inlineStr">
        <is>
          <t>2026-09-26</t>
        </is>
      </c>
      <c r="B505" t="inlineStr">
        <is>
          <t>Sat</t>
        </is>
      </c>
      <c r="C505" t="inlineStr">
        <is>
          <t>Client</t>
        </is>
      </c>
      <c r="D505" t="inlineStr">
        <is>
          <t>Dodam</t>
        </is>
      </c>
      <c r="E505" t="n">
        <v>1</v>
      </c>
      <c r="F505" t="inlineStr">
        <is>
          <t>23:00-11:00</t>
        </is>
      </c>
      <c r="G505" t="inlineStr">
        <is>
          <t>Cath Valdez</t>
        </is>
      </c>
      <c r="H505" t="inlineStr">
        <is>
          <t>Island of Dreams</t>
        </is>
      </c>
    </row>
    <row r="506">
      <c r="A506" t="inlineStr">
        <is>
          <t>2026-09-26</t>
        </is>
      </c>
      <c r="B506" t="inlineStr">
        <is>
          <t>Sat</t>
        </is>
      </c>
      <c r="C506" t="inlineStr">
        <is>
          <t>Client</t>
        </is>
      </c>
      <c r="D506" t="inlineStr">
        <is>
          <t>Dodam</t>
        </is>
      </c>
      <c r="E506" t="n">
        <v>2</v>
      </c>
      <c r="F506" t="inlineStr">
        <is>
          <t>07:00-19:00</t>
        </is>
      </c>
    </row>
    <row r="507">
      <c r="A507" t="inlineStr">
        <is>
          <t>2026-09-26</t>
        </is>
      </c>
      <c r="B507" t="inlineStr">
        <is>
          <t>Sat</t>
        </is>
      </c>
      <c r="C507" t="inlineStr">
        <is>
          <t>Client</t>
        </is>
      </c>
      <c r="D507" t="inlineStr">
        <is>
          <t>Dol</t>
        </is>
      </c>
      <c r="E507" t="n">
        <v>1</v>
      </c>
      <c r="F507" t="inlineStr">
        <is>
          <t>24:00-08:00</t>
        </is>
      </c>
      <c r="G507" t="inlineStr">
        <is>
          <t>Smartley</t>
        </is>
      </c>
      <c r="H507" t="inlineStr">
        <is>
          <t>Dragon Valley</t>
        </is>
      </c>
    </row>
    <row r="508">
      <c r="A508" t="inlineStr">
        <is>
          <t>2026-09-26</t>
        </is>
      </c>
      <c r="B508" t="inlineStr">
        <is>
          <t>Sat</t>
        </is>
      </c>
      <c r="C508" t="inlineStr">
        <is>
          <t>Client</t>
        </is>
      </c>
      <c r="D508" t="inlineStr">
        <is>
          <t>Dol</t>
        </is>
      </c>
      <c r="E508" t="n">
        <v>2</v>
      </c>
      <c r="F508" t="inlineStr">
        <is>
          <t>OFF</t>
        </is>
      </c>
    </row>
    <row r="509">
      <c r="A509" t="inlineStr">
        <is>
          <t>2026-09-26</t>
        </is>
      </c>
      <c r="B509" t="inlineStr">
        <is>
          <t>Sat</t>
        </is>
      </c>
      <c r="C509" t="inlineStr">
        <is>
          <t>Client</t>
        </is>
      </c>
      <c r="D509" t="inlineStr">
        <is>
          <t>Doma</t>
        </is>
      </c>
      <c r="E509" t="n">
        <v>1</v>
      </c>
      <c r="F509" t="inlineStr">
        <is>
          <t>OFF</t>
        </is>
      </c>
    </row>
    <row r="510">
      <c r="A510" t="inlineStr">
        <is>
          <t>2026-09-26</t>
        </is>
      </c>
      <c r="B510" t="inlineStr">
        <is>
          <t>Sat</t>
        </is>
      </c>
      <c r="C510" t="inlineStr">
        <is>
          <t>Client</t>
        </is>
      </c>
      <c r="D510" t="inlineStr">
        <is>
          <t>Doma</t>
        </is>
      </c>
      <c r="E510" t="n">
        <v>2</v>
      </c>
      <c r="F510" t="inlineStr">
        <is>
          <t>23:00-07:00</t>
        </is>
      </c>
      <c r="G510" t="inlineStr">
        <is>
          <t>Richard Salupari</t>
        </is>
      </c>
      <c r="H510" t="inlineStr">
        <is>
          <t>Ivory Tower</t>
        </is>
      </c>
    </row>
    <row r="511">
      <c r="A511" t="inlineStr">
        <is>
          <t>2026-09-26</t>
        </is>
      </c>
      <c r="B511" t="inlineStr">
        <is>
          <t>Sat</t>
        </is>
      </c>
      <c r="C511" t="inlineStr">
        <is>
          <t>Client</t>
        </is>
      </c>
      <c r="D511" t="inlineStr">
        <is>
          <t>Duga</t>
        </is>
      </c>
      <c r="E511" t="n">
        <v>1</v>
      </c>
      <c r="F511" t="inlineStr">
        <is>
          <t>07:00-15:00</t>
        </is>
      </c>
      <c r="G511" t="inlineStr">
        <is>
          <t>Patrick Rivera</t>
        </is>
      </c>
      <c r="H511" t="inlineStr">
        <is>
          <t>Oman/ Ivory Tower</t>
        </is>
      </c>
    </row>
    <row r="512">
      <c r="A512" t="inlineStr">
        <is>
          <t>2026-09-26</t>
        </is>
      </c>
      <c r="B512" t="inlineStr">
        <is>
          <t>Sat</t>
        </is>
      </c>
      <c r="C512" t="inlineStr">
        <is>
          <t>Client</t>
        </is>
      </c>
      <c r="D512" t="inlineStr">
        <is>
          <t>Elf</t>
        </is>
      </c>
      <c r="E512" t="n">
        <v>1</v>
      </c>
      <c r="F512" t="inlineStr">
        <is>
          <t>OFF</t>
        </is>
      </c>
    </row>
    <row r="513">
      <c r="A513" t="inlineStr">
        <is>
          <t>2026-09-26</t>
        </is>
      </c>
      <c r="B513" t="inlineStr">
        <is>
          <t>Sat</t>
        </is>
      </c>
      <c r="C513" t="inlineStr">
        <is>
          <t>Client</t>
        </is>
      </c>
      <c r="D513" t="inlineStr">
        <is>
          <t>Geonbae</t>
        </is>
      </c>
      <c r="E513" t="n">
        <v>1</v>
      </c>
      <c r="F513" t="inlineStr">
        <is>
          <t>OFF</t>
        </is>
      </c>
    </row>
    <row r="514">
      <c r="A514" t="inlineStr">
        <is>
          <t>2026-09-26</t>
        </is>
      </c>
      <c r="B514" t="inlineStr">
        <is>
          <t>Sat</t>
        </is>
      </c>
      <c r="C514" t="inlineStr">
        <is>
          <t>Client</t>
        </is>
      </c>
      <c r="D514" t="inlineStr">
        <is>
          <t>Geonbae</t>
        </is>
      </c>
      <c r="E514" t="n">
        <v>2</v>
      </c>
      <c r="F514" t="inlineStr">
        <is>
          <t>23:00-07:00</t>
        </is>
      </c>
      <c r="G514" t="inlineStr">
        <is>
          <t>Jheco</t>
        </is>
      </c>
      <c r="H514" t="inlineStr">
        <is>
          <t>Ivory Tower</t>
        </is>
      </c>
    </row>
    <row r="515">
      <c r="A515" t="inlineStr">
        <is>
          <t>2026-09-26</t>
        </is>
      </c>
      <c r="B515" t="inlineStr">
        <is>
          <t>Sat</t>
        </is>
      </c>
      <c r="C515" t="inlineStr">
        <is>
          <t>Client</t>
        </is>
      </c>
      <c r="D515" t="inlineStr">
        <is>
          <t>Goop</t>
        </is>
      </c>
      <c r="E515" t="n">
        <v>1</v>
      </c>
      <c r="F515" t="inlineStr">
        <is>
          <t>OFF</t>
        </is>
      </c>
    </row>
    <row r="516">
      <c r="A516" t="inlineStr">
        <is>
          <t>2026-09-26</t>
        </is>
      </c>
      <c r="B516" t="inlineStr">
        <is>
          <t>Sat</t>
        </is>
      </c>
      <c r="C516" t="inlineStr">
        <is>
          <t>Client</t>
        </is>
      </c>
      <c r="D516" t="inlineStr">
        <is>
          <t>Heon</t>
        </is>
      </c>
      <c r="E516" t="n">
        <v>1</v>
      </c>
      <c r="F516" t="inlineStr">
        <is>
          <t>OFF</t>
        </is>
      </c>
      <c r="H516" t="inlineStr">
        <is>
          <t>Abandoned Land (Abyss) 6
ivory tower 2</t>
        </is>
      </c>
      <c r="K516" t="inlineStr">
        <is>
          <t>E-Potion O</t>
        </is>
      </c>
      <c r="L516" t="inlineStr">
        <is>
          <t>555 buff</t>
        </is>
      </c>
      <c r="M516" t="inlineStr">
        <is>
          <t>Shield, Armour O</t>
        </is>
      </c>
    </row>
    <row r="517">
      <c r="A517" t="inlineStr">
        <is>
          <t>2026-09-26</t>
        </is>
      </c>
      <c r="B517" t="inlineStr">
        <is>
          <t>Sat</t>
        </is>
      </c>
      <c r="C517" t="inlineStr">
        <is>
          <t>Client</t>
        </is>
      </c>
      <c r="D517" t="inlineStr">
        <is>
          <t>Jjuni</t>
        </is>
      </c>
      <c r="E517" t="n">
        <v>1</v>
      </c>
      <c r="F517" t="inlineStr">
        <is>
          <t>13:00-21:00</t>
        </is>
      </c>
    </row>
    <row r="518">
      <c r="A518" t="inlineStr">
        <is>
          <t>2026-09-26</t>
        </is>
      </c>
      <c r="B518" t="inlineStr">
        <is>
          <t>Sat</t>
        </is>
      </c>
      <c r="C518" t="inlineStr">
        <is>
          <t>Client</t>
        </is>
      </c>
      <c r="D518" t="inlineStr">
        <is>
          <t>Jjuni</t>
        </is>
      </c>
      <c r="E518" t="n">
        <v>2</v>
      </c>
      <c r="F518" t="inlineStr">
        <is>
          <t>OFF</t>
        </is>
      </c>
    </row>
    <row r="519">
      <c r="A519" t="inlineStr">
        <is>
          <t>2026-09-26</t>
        </is>
      </c>
      <c r="B519" t="inlineStr">
        <is>
          <t>Sat</t>
        </is>
      </c>
      <c r="C519" t="inlineStr">
        <is>
          <t>Client</t>
        </is>
      </c>
      <c r="D519" t="inlineStr">
        <is>
          <t>Jjuni</t>
        </is>
      </c>
      <c r="E519" t="n">
        <v>3</v>
      </c>
      <c r="F519" t="inlineStr">
        <is>
          <t>OFF</t>
        </is>
      </c>
      <c r="H519" t="inlineStr">
        <is>
          <t>Ivory Tower</t>
        </is>
      </c>
    </row>
    <row r="520">
      <c r="A520" t="inlineStr">
        <is>
          <t>2026-09-26</t>
        </is>
      </c>
      <c r="B520" t="inlineStr">
        <is>
          <t>Sat</t>
        </is>
      </c>
      <c r="C520" t="inlineStr">
        <is>
          <t>Client</t>
        </is>
      </c>
      <c r="D520" t="inlineStr">
        <is>
          <t>Jo</t>
        </is>
      </c>
      <c r="E520" t="n">
        <v>1</v>
      </c>
      <c r="F520" t="inlineStr">
        <is>
          <t>OFF</t>
        </is>
      </c>
    </row>
    <row r="521">
      <c r="A521" t="inlineStr">
        <is>
          <t>2026-09-26</t>
        </is>
      </c>
      <c r="B521" t="inlineStr">
        <is>
          <t>Sat</t>
        </is>
      </c>
      <c r="C521" t="inlineStr">
        <is>
          <t>Client</t>
        </is>
      </c>
      <c r="D521" t="inlineStr">
        <is>
          <t>Lammy Queen</t>
        </is>
      </c>
      <c r="E521" t="n">
        <v>1</v>
      </c>
      <c r="F521" t="inlineStr">
        <is>
          <t>OFF</t>
        </is>
      </c>
    </row>
    <row r="522">
      <c r="A522" t="inlineStr">
        <is>
          <t>2026-09-26</t>
        </is>
      </c>
      <c r="B522" t="inlineStr">
        <is>
          <t>Sat</t>
        </is>
      </c>
      <c r="C522" t="inlineStr">
        <is>
          <t>Client</t>
        </is>
      </c>
      <c r="D522" t="inlineStr">
        <is>
          <t>Lammy Queen</t>
        </is>
      </c>
      <c r="E522" t="n">
        <v>2</v>
      </c>
      <c r="F522" t="inlineStr">
        <is>
          <t>OFF</t>
        </is>
      </c>
    </row>
    <row r="523">
      <c r="A523" t="inlineStr">
        <is>
          <t>2026-09-26</t>
        </is>
      </c>
      <c r="B523" t="inlineStr">
        <is>
          <t>Sat</t>
        </is>
      </c>
      <c r="C523" t="inlineStr">
        <is>
          <t>Client</t>
        </is>
      </c>
      <c r="D523" t="inlineStr">
        <is>
          <t>Lolly</t>
        </is>
      </c>
      <c r="E523" t="n">
        <v>1</v>
      </c>
      <c r="F523" t="inlineStr">
        <is>
          <t>06:00-16:00</t>
        </is>
      </c>
      <c r="G523" t="inlineStr">
        <is>
          <t>Mitchell</t>
        </is>
      </c>
      <c r="H523" t="inlineStr">
        <is>
          <t>abandoned land 3
a land of corruption5</t>
        </is>
      </c>
      <c r="J523" t="inlineStr">
        <is>
          <t>Hunting while using all the F3 buffs</t>
        </is>
      </c>
      <c r="K523" t="inlineStr">
        <is>
          <t>E-Potion O</t>
        </is>
      </c>
      <c r="L523" t="inlineStr">
        <is>
          <t>555 buff</t>
        </is>
      </c>
      <c r="M523" t="inlineStr">
        <is>
          <t>Shield, Armour O</t>
        </is>
      </c>
    </row>
    <row r="524">
      <c r="A524" t="inlineStr">
        <is>
          <t>2026-09-26</t>
        </is>
      </c>
      <c r="B524" t="inlineStr">
        <is>
          <t>Sat</t>
        </is>
      </c>
      <c r="C524" t="inlineStr">
        <is>
          <t>Client</t>
        </is>
      </c>
      <c r="D524" t="inlineStr">
        <is>
          <t>Mukkbo</t>
        </is>
      </c>
      <c r="E524" t="n">
        <v>1</v>
      </c>
      <c r="F524" t="inlineStr">
        <is>
          <t>OFF</t>
        </is>
      </c>
    </row>
    <row r="525">
      <c r="A525" t="inlineStr">
        <is>
          <t>2026-09-26</t>
        </is>
      </c>
      <c r="B525" t="inlineStr">
        <is>
          <t>Sat</t>
        </is>
      </c>
      <c r="C525" t="inlineStr">
        <is>
          <t>Client</t>
        </is>
      </c>
      <c r="D525" t="inlineStr">
        <is>
          <t>Mukkbo</t>
        </is>
      </c>
      <c r="E525" t="n">
        <v>2</v>
      </c>
      <c r="F525" t="inlineStr">
        <is>
          <t>OFF</t>
        </is>
      </c>
    </row>
    <row r="526">
      <c r="A526" t="inlineStr">
        <is>
          <t>2026-09-26</t>
        </is>
      </c>
      <c r="B526" t="inlineStr">
        <is>
          <t>Sat</t>
        </is>
      </c>
      <c r="C526" t="inlineStr">
        <is>
          <t>Client</t>
        </is>
      </c>
      <c r="D526" t="inlineStr">
        <is>
          <t>Munjin</t>
        </is>
      </c>
      <c r="E526" t="n">
        <v>1</v>
      </c>
      <c r="F526" t="inlineStr">
        <is>
          <t>OFF</t>
        </is>
      </c>
    </row>
    <row r="527">
      <c r="A527" t="inlineStr">
        <is>
          <t>2026-09-26</t>
        </is>
      </c>
      <c r="B527" t="inlineStr">
        <is>
          <t>Sat</t>
        </is>
      </c>
      <c r="C527" t="inlineStr">
        <is>
          <t>Client</t>
        </is>
      </c>
      <c r="D527" t="inlineStr">
        <is>
          <t>Neburegi</t>
        </is>
      </c>
      <c r="E527" t="n">
        <v>1</v>
      </c>
      <c r="F527" t="inlineStr">
        <is>
          <t>OFF</t>
        </is>
      </c>
    </row>
    <row r="528">
      <c r="A528" t="inlineStr">
        <is>
          <t>2026-09-26</t>
        </is>
      </c>
      <c r="B528" t="inlineStr">
        <is>
          <t>Sat</t>
        </is>
      </c>
      <c r="C528" t="inlineStr">
        <is>
          <t>Client</t>
        </is>
      </c>
      <c r="D528" t="inlineStr">
        <is>
          <t>Olleh</t>
        </is>
      </c>
      <c r="E528" t="n">
        <v>1</v>
      </c>
      <c r="F528" t="inlineStr">
        <is>
          <t>OFF</t>
        </is>
      </c>
      <c r="H528" t="inlineStr">
        <is>
          <t>Ivory Tower</t>
        </is>
      </c>
    </row>
    <row r="529">
      <c r="A529" t="inlineStr">
        <is>
          <t>2026-09-26</t>
        </is>
      </c>
      <c r="B529" t="inlineStr">
        <is>
          <t>Sat</t>
        </is>
      </c>
      <c r="C529" t="inlineStr">
        <is>
          <t>Client</t>
        </is>
      </c>
      <c r="D529" t="inlineStr">
        <is>
          <t>Olleh</t>
        </is>
      </c>
      <c r="E529" t="n">
        <v>2</v>
      </c>
      <c r="F529" t="inlineStr">
        <is>
          <t>23:00-11:00</t>
        </is>
      </c>
      <c r="G529" t="inlineStr">
        <is>
          <t>JM Racca</t>
        </is>
      </c>
      <c r="H529" t="inlineStr">
        <is>
          <t>Ivory Tower</t>
        </is>
      </c>
    </row>
    <row r="530">
      <c r="A530" t="inlineStr">
        <is>
          <t>2026-09-26</t>
        </is>
      </c>
      <c r="B530" t="inlineStr">
        <is>
          <t>Sat</t>
        </is>
      </c>
      <c r="C530" t="inlineStr">
        <is>
          <t>Client</t>
        </is>
      </c>
      <c r="D530" t="inlineStr">
        <is>
          <t>Perez</t>
        </is>
      </c>
      <c r="E530" t="n">
        <v>1</v>
      </c>
      <c r="F530" t="inlineStr">
        <is>
          <t>08:00-16:00</t>
        </is>
      </c>
      <c r="G530" t="inlineStr">
        <is>
          <t>Samantha</t>
        </is>
      </c>
    </row>
    <row r="531">
      <c r="A531" t="inlineStr">
        <is>
          <t>2026-09-26</t>
        </is>
      </c>
      <c r="B531" t="inlineStr">
        <is>
          <t>Sat</t>
        </is>
      </c>
      <c r="C531" t="inlineStr">
        <is>
          <t>Client</t>
        </is>
      </c>
      <c r="D531" t="inlineStr">
        <is>
          <t>Perez</t>
        </is>
      </c>
      <c r="E531" t="n">
        <v>2</v>
      </c>
      <c r="F531" t="inlineStr">
        <is>
          <t>13:00-21:00</t>
        </is>
      </c>
      <c r="G531" t="inlineStr">
        <is>
          <t>Jan Nino</t>
        </is>
      </c>
      <c r="H531" t="inlineStr">
        <is>
          <t>LAND OF FALLEN / SPATOY</t>
        </is>
      </c>
    </row>
    <row r="532">
      <c r="A532" t="inlineStr">
        <is>
          <t>2026-09-26</t>
        </is>
      </c>
      <c r="B532" t="inlineStr">
        <is>
          <t>Sat</t>
        </is>
      </c>
      <c r="C532" t="inlineStr">
        <is>
          <t>Client</t>
        </is>
      </c>
      <c r="D532" t="inlineStr">
        <is>
          <t>Perez</t>
        </is>
      </c>
      <c r="E532" t="n">
        <v>3</v>
      </c>
      <c r="F532" t="inlineStr">
        <is>
          <t>21:00-05:00</t>
        </is>
      </c>
      <c r="G532" t="inlineStr">
        <is>
          <t>Zenron</t>
        </is>
      </c>
      <c r="H532" t="inlineStr">
        <is>
          <t>Abandon Land</t>
        </is>
      </c>
    </row>
    <row r="533">
      <c r="A533" t="inlineStr">
        <is>
          <t>2026-09-26</t>
        </is>
      </c>
      <c r="B533" t="inlineStr">
        <is>
          <t>Sat</t>
        </is>
      </c>
      <c r="C533" t="inlineStr">
        <is>
          <t>Client</t>
        </is>
      </c>
      <c r="D533" t="inlineStr">
        <is>
          <t>Power20</t>
        </is>
      </c>
      <c r="E533" t="n">
        <v>1</v>
      </c>
      <c r="F533" t="inlineStr">
        <is>
          <t>10:00-18:00</t>
        </is>
      </c>
      <c r="G533" t="inlineStr">
        <is>
          <t>Isiah</t>
        </is>
      </c>
    </row>
    <row r="534">
      <c r="A534" t="inlineStr">
        <is>
          <t>2026-09-26</t>
        </is>
      </c>
      <c r="B534" t="inlineStr">
        <is>
          <t>Sat</t>
        </is>
      </c>
      <c r="C534" t="inlineStr">
        <is>
          <t>Client</t>
        </is>
      </c>
      <c r="D534" t="inlineStr">
        <is>
          <t>Power20</t>
        </is>
      </c>
      <c r="E534" t="n">
        <v>2</v>
      </c>
      <c r="F534" t="inlineStr">
        <is>
          <t>OFF</t>
        </is>
      </c>
    </row>
    <row r="535">
      <c r="A535" t="inlineStr">
        <is>
          <t>2026-09-26</t>
        </is>
      </c>
      <c r="B535" t="inlineStr">
        <is>
          <t>Sat</t>
        </is>
      </c>
      <c r="C535" t="inlineStr">
        <is>
          <t>Client</t>
        </is>
      </c>
      <c r="D535" t="inlineStr">
        <is>
          <t>Power20</t>
        </is>
      </c>
      <c r="E535" t="n">
        <v>3</v>
      </c>
      <c r="F535" t="inlineStr">
        <is>
          <t>02:00-10:00</t>
        </is>
      </c>
      <c r="G535" t="inlineStr">
        <is>
          <t>Roderick</t>
        </is>
      </c>
      <c r="H535" t="inlineStr">
        <is>
          <t>Ivory Tower</t>
        </is>
      </c>
    </row>
    <row r="536">
      <c r="A536" t="inlineStr">
        <is>
          <t>2026-09-26</t>
        </is>
      </c>
      <c r="B536" t="inlineStr">
        <is>
          <t>Sat</t>
        </is>
      </c>
      <c r="C536" t="inlineStr">
        <is>
          <t>Client</t>
        </is>
      </c>
      <c r="D536" t="inlineStr">
        <is>
          <t>Real Madrid</t>
        </is>
      </c>
      <c r="E536" t="n">
        <v>1</v>
      </c>
      <c r="F536" t="inlineStr">
        <is>
          <t>24:00-08:00</t>
        </is>
      </c>
      <c r="G536" t="inlineStr">
        <is>
          <t>Raymond</t>
        </is>
      </c>
      <c r="H536" t="inlineStr">
        <is>
          <t>Ivory Tower</t>
        </is>
      </c>
    </row>
    <row r="537">
      <c r="A537" t="inlineStr">
        <is>
          <t>2026-09-26</t>
        </is>
      </c>
      <c r="B537" t="inlineStr">
        <is>
          <t>Sat</t>
        </is>
      </c>
      <c r="C537" t="inlineStr">
        <is>
          <t>Client</t>
        </is>
      </c>
      <c r="D537" t="inlineStr">
        <is>
          <t>Real Madrid</t>
        </is>
      </c>
      <c r="E537" t="n">
        <v>2</v>
      </c>
      <c r="F537" t="inlineStr">
        <is>
          <t>OFF</t>
        </is>
      </c>
      <c r="H537" t="inlineStr">
        <is>
          <t>Ivory Tower</t>
        </is>
      </c>
    </row>
    <row r="538">
      <c r="A538" t="inlineStr">
        <is>
          <t>2026-09-26</t>
        </is>
      </c>
      <c r="B538" t="inlineStr">
        <is>
          <t>Sat</t>
        </is>
      </c>
      <c r="C538" t="inlineStr">
        <is>
          <t>Client</t>
        </is>
      </c>
      <c r="D538" t="inlineStr">
        <is>
          <t>Real Madrid</t>
        </is>
      </c>
      <c r="E538" t="n">
        <v>3</v>
      </c>
      <c r="F538" t="inlineStr">
        <is>
          <t>OFF</t>
        </is>
      </c>
    </row>
    <row r="539">
      <c r="A539" t="inlineStr">
        <is>
          <t>2026-09-26</t>
        </is>
      </c>
      <c r="B539" t="inlineStr">
        <is>
          <t>Sat</t>
        </is>
      </c>
      <c r="C539" t="inlineStr">
        <is>
          <t>Client</t>
        </is>
      </c>
      <c r="D539" t="inlineStr">
        <is>
          <t>Return</t>
        </is>
      </c>
      <c r="E539" t="n">
        <v>1</v>
      </c>
      <c r="F539" t="inlineStr">
        <is>
          <t>03:00-11:00</t>
        </is>
      </c>
      <c r="G539" t="inlineStr">
        <is>
          <t>Monteza</t>
        </is>
      </c>
      <c r="H539" t="inlineStr">
        <is>
          <t>Ivory Tower</t>
        </is>
      </c>
    </row>
    <row r="540">
      <c r="A540" t="inlineStr">
        <is>
          <t>2026-09-26</t>
        </is>
      </c>
      <c r="B540" t="inlineStr">
        <is>
          <t>Sat</t>
        </is>
      </c>
      <c r="C540" t="inlineStr">
        <is>
          <t>Client</t>
        </is>
      </c>
      <c r="D540" t="inlineStr">
        <is>
          <t>Road</t>
        </is>
      </c>
      <c r="E540" t="n">
        <v>1</v>
      </c>
      <c r="F540" t="inlineStr">
        <is>
          <t>OFF</t>
        </is>
      </c>
    </row>
    <row r="541">
      <c r="A541" t="inlineStr">
        <is>
          <t>2026-09-26</t>
        </is>
      </c>
      <c r="B541" t="inlineStr">
        <is>
          <t>Sat</t>
        </is>
      </c>
      <c r="C541" t="inlineStr">
        <is>
          <t>Client</t>
        </is>
      </c>
      <c r="D541" t="inlineStr">
        <is>
          <t>SSEN</t>
        </is>
      </c>
      <c r="E541" t="n">
        <v>1</v>
      </c>
      <c r="F541" t="inlineStr">
        <is>
          <t>07:00-19:00</t>
        </is>
      </c>
      <c r="G541" t="inlineStr">
        <is>
          <t>Christelle</t>
        </is>
      </c>
    </row>
    <row r="542">
      <c r="A542" t="inlineStr">
        <is>
          <t>2026-09-26</t>
        </is>
      </c>
      <c r="B542" t="inlineStr">
        <is>
          <t>Sat</t>
        </is>
      </c>
      <c r="C542" t="inlineStr">
        <is>
          <t>Client</t>
        </is>
      </c>
      <c r="D542" t="inlineStr">
        <is>
          <t>Tiger</t>
        </is>
      </c>
      <c r="E542" t="n">
        <v>1</v>
      </c>
      <c r="F542" t="inlineStr">
        <is>
          <t>OFF</t>
        </is>
      </c>
    </row>
    <row r="543">
      <c r="A543" t="inlineStr">
        <is>
          <t>2026-09-26</t>
        </is>
      </c>
      <c r="B543" t="inlineStr">
        <is>
          <t>Sat</t>
        </is>
      </c>
      <c r="C543" t="inlineStr">
        <is>
          <t>Client</t>
        </is>
      </c>
      <c r="D543" t="inlineStr">
        <is>
          <t>Tiger</t>
        </is>
      </c>
      <c r="E543" t="n">
        <v>2</v>
      </c>
      <c r="F543" t="inlineStr">
        <is>
          <t>OFF</t>
        </is>
      </c>
      <c r="H543" t="inlineStr">
        <is>
          <t>Ivory Tower</t>
        </is>
      </c>
    </row>
    <row r="544">
      <c r="A544" t="inlineStr">
        <is>
          <t>2026-09-26</t>
        </is>
      </c>
      <c r="B544" t="inlineStr">
        <is>
          <t>Sat</t>
        </is>
      </c>
      <c r="C544" t="inlineStr">
        <is>
          <t>Client</t>
        </is>
      </c>
      <c r="D544" t="inlineStr">
        <is>
          <t>Yeoseo</t>
        </is>
      </c>
      <c r="E544" t="n">
        <v>1</v>
      </c>
      <c r="F544" t="inlineStr">
        <is>
          <t>OFF</t>
        </is>
      </c>
      <c r="H544" t="inlineStr">
        <is>
          <t>abandoned land 3
a land of corruption5</t>
        </is>
      </c>
      <c r="K544" t="inlineStr">
        <is>
          <t>E-Potion O</t>
        </is>
      </c>
      <c r="L544" t="inlineStr">
        <is>
          <t>555 buff</t>
        </is>
      </c>
      <c r="M544" t="inlineStr">
        <is>
          <t>Shield, Armour O</t>
        </is>
      </c>
    </row>
    <row r="545">
      <c r="A545" t="inlineStr">
        <is>
          <t>2026-09-26</t>
        </is>
      </c>
      <c r="B545" t="inlineStr">
        <is>
          <t>Sat</t>
        </is>
      </c>
      <c r="C545" t="inlineStr">
        <is>
          <t>Client</t>
        </is>
      </c>
      <c r="D545" t="inlineStr">
        <is>
          <t>Zombie</t>
        </is>
      </c>
      <c r="E545" t="n">
        <v>1</v>
      </c>
      <c r="F545" t="inlineStr">
        <is>
          <t>OFF</t>
        </is>
      </c>
    </row>
    <row r="546">
      <c r="A546" t="inlineStr">
        <is>
          <t>2026-09-26</t>
        </is>
      </c>
      <c r="B546" t="inlineStr">
        <is>
          <t>Sat</t>
        </is>
      </c>
      <c r="C546" t="inlineStr">
        <is>
          <t>Client</t>
        </is>
      </c>
      <c r="D546" t="inlineStr">
        <is>
          <t>Zombie</t>
        </is>
      </c>
      <c r="E546" t="n">
        <v>2</v>
      </c>
      <c r="F546" t="inlineStr">
        <is>
          <t>OFF</t>
        </is>
      </c>
    </row>
    <row r="547">
      <c r="A547" t="inlineStr">
        <is>
          <t>2026-09-26</t>
        </is>
      </c>
      <c r="B547" t="inlineStr">
        <is>
          <t>Sat</t>
        </is>
      </c>
      <c r="C547" t="inlineStr">
        <is>
          <t>Client</t>
        </is>
      </c>
      <c r="D547" t="inlineStr">
        <is>
          <t>Zombie</t>
        </is>
      </c>
      <c r="E547" t="n">
        <v>3</v>
      </c>
      <c r="F547" t="inlineStr">
        <is>
          <t>OFF</t>
        </is>
      </c>
    </row>
    <row r="548">
      <c r="A548" t="inlineStr">
        <is>
          <t>2026-09-26</t>
        </is>
      </c>
      <c r="B548" t="inlineStr">
        <is>
          <t>Sat</t>
        </is>
      </c>
      <c r="C548" t="inlineStr">
        <is>
          <t>Farming</t>
        </is>
      </c>
      <c r="D548" t="inlineStr">
        <is>
          <t>Kangaroo</t>
        </is>
      </c>
      <c r="E548" t="n">
        <v>1</v>
      </c>
      <c r="F548" t="inlineStr">
        <is>
          <t>08:00-16:00</t>
        </is>
      </c>
      <c r="H548" t="inlineStr">
        <is>
          <t>Corrupted Land</t>
        </is>
      </c>
      <c r="I548" t="inlineStr">
        <is>
          <t>↓</t>
        </is>
      </c>
      <c r="J548" t="inlineStr">
        <is>
          <t>↓</t>
        </is>
      </c>
      <c r="K548" t="inlineStr">
        <is>
          <t>↓</t>
        </is>
      </c>
      <c r="L548" t="inlineStr">
        <is>
          <t>↓</t>
        </is>
      </c>
      <c r="M548" t="inlineStr">
        <is>
          <t>↓</t>
        </is>
      </c>
    </row>
    <row r="549">
      <c r="A549" t="inlineStr">
        <is>
          <t>2026-09-26</t>
        </is>
      </c>
      <c r="B549" t="inlineStr">
        <is>
          <t>Sat</t>
        </is>
      </c>
      <c r="C549" t="inlineStr">
        <is>
          <t>Farming</t>
        </is>
      </c>
      <c r="D549" t="inlineStr">
        <is>
          <t>Kangaroo</t>
        </is>
      </c>
      <c r="E549" t="n">
        <v>2</v>
      </c>
      <c r="F549" t="inlineStr">
        <is>
          <t>16:00-24:00</t>
        </is>
      </c>
      <c r="G549" t="inlineStr">
        <is>
          <t>Jan Nino</t>
        </is>
      </c>
      <c r="H549" t="inlineStr">
        <is>
          <t>Corrupted Land</t>
        </is>
      </c>
    </row>
    <row r="550">
      <c r="A550" t="inlineStr">
        <is>
          <t>2026-09-26</t>
        </is>
      </c>
      <c r="B550" t="inlineStr">
        <is>
          <t>Sat</t>
        </is>
      </c>
      <c r="C550" t="inlineStr">
        <is>
          <t>Farming</t>
        </is>
      </c>
      <c r="D550" t="inlineStr">
        <is>
          <t>Kangaroo</t>
        </is>
      </c>
      <c r="E550" t="n">
        <v>3</v>
      </c>
      <c r="F550" t="inlineStr">
        <is>
          <t>24:00-08:00</t>
        </is>
      </c>
      <c r="G550" t="inlineStr">
        <is>
          <t>Chester</t>
        </is>
      </c>
      <c r="H550" t="inlineStr">
        <is>
          <t>Corrupted Land</t>
        </is>
      </c>
    </row>
    <row r="551">
      <c r="A551" t="inlineStr">
        <is>
          <t>2026-09-26</t>
        </is>
      </c>
      <c r="B551" t="inlineStr">
        <is>
          <t>Sat</t>
        </is>
      </c>
      <c r="C551" t="inlineStr">
        <is>
          <t>Farming</t>
        </is>
      </c>
      <c r="D551" t="inlineStr">
        <is>
          <t>Kyoryu</t>
        </is>
      </c>
      <c r="E551" t="n">
        <v>1</v>
      </c>
      <c r="F551" t="inlineStr">
        <is>
          <t>08:00-16:00</t>
        </is>
      </c>
    </row>
    <row r="552">
      <c r="A552" t="inlineStr">
        <is>
          <t>2026-09-26</t>
        </is>
      </c>
      <c r="B552" t="inlineStr">
        <is>
          <t>Sat</t>
        </is>
      </c>
      <c r="C552" t="inlineStr">
        <is>
          <t>Farming</t>
        </is>
      </c>
      <c r="D552" t="inlineStr">
        <is>
          <t>Kyoryu</t>
        </is>
      </c>
      <c r="E552" t="n">
        <v>2</v>
      </c>
      <c r="F552" t="inlineStr">
        <is>
          <t>16:00-24:00</t>
        </is>
      </c>
      <c r="G552" t="inlineStr">
        <is>
          <t>Jel Rick</t>
        </is>
      </c>
      <c r="H552" t="inlineStr">
        <is>
          <t>ELMORE &amp; DD</t>
        </is>
      </c>
    </row>
    <row r="553">
      <c r="A553" t="inlineStr">
        <is>
          <t>2026-09-26</t>
        </is>
      </c>
      <c r="B553" t="inlineStr">
        <is>
          <t>Sat</t>
        </is>
      </c>
      <c r="C553" t="inlineStr">
        <is>
          <t>Farming</t>
        </is>
      </c>
      <c r="D553" t="inlineStr">
        <is>
          <t>Kyoryu</t>
        </is>
      </c>
      <c r="E553" t="n">
        <v>3</v>
      </c>
      <c r="F553" t="inlineStr">
        <is>
          <t>24:00-08:00</t>
        </is>
      </c>
      <c r="H553" t="inlineStr">
        <is>
          <t>Elmore</t>
        </is>
      </c>
    </row>
    <row r="554">
      <c r="A554" t="inlineStr">
        <is>
          <t>2026-09-26</t>
        </is>
      </c>
      <c r="B554" t="inlineStr">
        <is>
          <t>Sat</t>
        </is>
      </c>
      <c r="C554" t="inlineStr">
        <is>
          <t>Farming</t>
        </is>
      </c>
      <c r="D554" t="inlineStr">
        <is>
          <t>Marcelo</t>
        </is>
      </c>
      <c r="E554" t="n">
        <v>1</v>
      </c>
      <c r="F554" t="inlineStr">
        <is>
          <t>08:00-16:00</t>
        </is>
      </c>
    </row>
    <row r="555">
      <c r="A555" t="inlineStr">
        <is>
          <t>2026-09-26</t>
        </is>
      </c>
      <c r="B555" t="inlineStr">
        <is>
          <t>Sat</t>
        </is>
      </c>
      <c r="C555" t="inlineStr">
        <is>
          <t>Farming</t>
        </is>
      </c>
      <c r="D555" t="inlineStr">
        <is>
          <t>Marcelo</t>
        </is>
      </c>
      <c r="E555" t="n">
        <v>2</v>
      </c>
      <c r="F555" t="inlineStr">
        <is>
          <t>16:00-24:00</t>
        </is>
      </c>
      <c r="H555" t="inlineStr">
        <is>
          <t>ELMORE &amp; DD</t>
        </is>
      </c>
    </row>
    <row r="556">
      <c r="A556" t="inlineStr">
        <is>
          <t>2026-09-26</t>
        </is>
      </c>
      <c r="B556" t="inlineStr">
        <is>
          <t>Sat</t>
        </is>
      </c>
      <c r="C556" t="inlineStr">
        <is>
          <t>Farming</t>
        </is>
      </c>
      <c r="D556" t="inlineStr">
        <is>
          <t>Marcelo</t>
        </is>
      </c>
      <c r="E556" t="n">
        <v>3</v>
      </c>
      <c r="F556" t="inlineStr">
        <is>
          <t>24:00-08:00</t>
        </is>
      </c>
      <c r="G556" t="inlineStr">
        <is>
          <t>Lourence</t>
        </is>
      </c>
      <c r="H556" t="inlineStr">
        <is>
          <t>Elmore</t>
        </is>
      </c>
    </row>
    <row r="557">
      <c r="A557" t="inlineStr">
        <is>
          <t>2026-09-26</t>
        </is>
      </c>
      <c r="B557" t="inlineStr">
        <is>
          <t>Sat</t>
        </is>
      </c>
      <c r="C557" t="inlineStr">
        <is>
          <t>Farming</t>
        </is>
      </c>
      <c r="D557" t="inlineStr">
        <is>
          <t>OldBlood</t>
        </is>
      </c>
      <c r="E557" t="n">
        <v>1</v>
      </c>
      <c r="F557" t="inlineStr">
        <is>
          <t>24:00-08:00</t>
        </is>
      </c>
    </row>
    <row r="558">
      <c r="A558" t="inlineStr">
        <is>
          <t>2026-09-26</t>
        </is>
      </c>
      <c r="B558" t="inlineStr">
        <is>
          <t>Sat</t>
        </is>
      </c>
      <c r="C558" t="inlineStr">
        <is>
          <t>Farming</t>
        </is>
      </c>
      <c r="D558" t="inlineStr">
        <is>
          <t>Pele</t>
        </is>
      </c>
      <c r="E558" t="n">
        <v>1</v>
      </c>
      <c r="F558" t="inlineStr">
        <is>
          <t>08:00-16:00</t>
        </is>
      </c>
    </row>
    <row r="559">
      <c r="A559" t="inlineStr">
        <is>
          <t>2026-09-26</t>
        </is>
      </c>
      <c r="B559" t="inlineStr">
        <is>
          <t>Sat</t>
        </is>
      </c>
      <c r="C559" t="inlineStr">
        <is>
          <t>Farming</t>
        </is>
      </c>
      <c r="D559" t="inlineStr">
        <is>
          <t>Pele</t>
        </is>
      </c>
      <c r="E559" t="n">
        <v>2</v>
      </c>
      <c r="F559" t="inlineStr">
        <is>
          <t>16:00-24:00</t>
        </is>
      </c>
      <c r="H559" t="inlineStr">
        <is>
          <t>ANT &amp; ELMORE</t>
        </is>
      </c>
    </row>
    <row r="560">
      <c r="A560" t="inlineStr">
        <is>
          <t>2026-09-26</t>
        </is>
      </c>
      <c r="B560" t="inlineStr">
        <is>
          <t>Sat</t>
        </is>
      </c>
      <c r="C560" t="inlineStr">
        <is>
          <t>Farming</t>
        </is>
      </c>
      <c r="D560" t="inlineStr">
        <is>
          <t>Pele</t>
        </is>
      </c>
      <c r="E560" t="n">
        <v>3</v>
      </c>
      <c r="F560" t="inlineStr">
        <is>
          <t>24:00-08:00</t>
        </is>
      </c>
      <c r="G560" t="inlineStr">
        <is>
          <t>Rodel</t>
        </is>
      </c>
      <c r="H560" t="inlineStr">
        <is>
          <t>ELMORE</t>
        </is>
      </c>
    </row>
    <row r="561">
      <c r="A561" t="inlineStr">
        <is>
          <t>2026-09-26</t>
        </is>
      </c>
      <c r="B561" t="inlineStr">
        <is>
          <t>Sat</t>
        </is>
      </c>
      <c r="C561" t="inlineStr">
        <is>
          <t>Farming</t>
        </is>
      </c>
      <c r="D561" t="inlineStr">
        <is>
          <t>Ronaldo</t>
        </is>
      </c>
      <c r="E561" t="n">
        <v>1</v>
      </c>
      <c r="F561" t="inlineStr">
        <is>
          <t>08:00-16:00</t>
        </is>
      </c>
    </row>
    <row r="562">
      <c r="A562" t="inlineStr">
        <is>
          <t>2026-09-26</t>
        </is>
      </c>
      <c r="B562" t="inlineStr">
        <is>
          <t>Sat</t>
        </is>
      </c>
      <c r="C562" t="inlineStr">
        <is>
          <t>Farming</t>
        </is>
      </c>
      <c r="D562" t="inlineStr">
        <is>
          <t>Ronaldo</t>
        </is>
      </c>
      <c r="E562" t="n">
        <v>2</v>
      </c>
      <c r="F562" t="inlineStr">
        <is>
          <t>16:00-24:00</t>
        </is>
      </c>
      <c r="G562" t="inlineStr">
        <is>
          <t>Charles Bernades</t>
        </is>
      </c>
      <c r="H562" t="inlineStr">
        <is>
          <t>Ivory Tower 4~5</t>
        </is>
      </c>
    </row>
    <row r="563">
      <c r="A563" t="inlineStr">
        <is>
          <t>2026-09-26</t>
        </is>
      </c>
      <c r="B563" t="inlineStr">
        <is>
          <t>Sat</t>
        </is>
      </c>
      <c r="C563" t="inlineStr">
        <is>
          <t>Farming</t>
        </is>
      </c>
      <c r="D563" t="inlineStr">
        <is>
          <t>Ronaldo</t>
        </is>
      </c>
      <c r="E563" t="n">
        <v>3</v>
      </c>
      <c r="F563" t="inlineStr">
        <is>
          <t>24:00-08:00</t>
        </is>
      </c>
      <c r="G563" t="inlineStr">
        <is>
          <t>Joseph Racca</t>
        </is>
      </c>
      <c r="H563" t="inlineStr">
        <is>
          <t>Ivory flr4&amp;5</t>
        </is>
      </c>
    </row>
    <row r="564">
      <c r="A564" t="inlineStr">
        <is>
          <t>2026-09-26</t>
        </is>
      </c>
      <c r="B564" t="inlineStr">
        <is>
          <t>Sat</t>
        </is>
      </c>
      <c r="C564" t="inlineStr">
        <is>
          <t>Farming</t>
        </is>
      </c>
      <c r="D564" t="inlineStr">
        <is>
          <t>Sarim</t>
        </is>
      </c>
      <c r="E564" t="n">
        <v>1</v>
      </c>
      <c r="F564" t="inlineStr">
        <is>
          <t>08:00-16:00</t>
        </is>
      </c>
    </row>
    <row r="565">
      <c r="A565" t="inlineStr">
        <is>
          <t>2026-09-26</t>
        </is>
      </c>
      <c r="B565" t="inlineStr">
        <is>
          <t>Sat</t>
        </is>
      </c>
      <c r="C565" t="inlineStr">
        <is>
          <t>Farming</t>
        </is>
      </c>
      <c r="D565" t="inlineStr">
        <is>
          <t>Sarim</t>
        </is>
      </c>
      <c r="E565" t="n">
        <v>2</v>
      </c>
      <c r="F565" t="inlineStr">
        <is>
          <t>16:00-24:00</t>
        </is>
      </c>
      <c r="H565" t="inlineStr">
        <is>
          <t>ELMORE &amp; DD</t>
        </is>
      </c>
    </row>
    <row r="566">
      <c r="A566" t="inlineStr">
        <is>
          <t>2026-09-26</t>
        </is>
      </c>
      <c r="B566" t="inlineStr">
        <is>
          <t>Sat</t>
        </is>
      </c>
      <c r="C566" t="inlineStr">
        <is>
          <t>Farming</t>
        </is>
      </c>
      <c r="D566" t="inlineStr">
        <is>
          <t>Sarim</t>
        </is>
      </c>
      <c r="E566" t="n">
        <v>3</v>
      </c>
      <c r="F566" t="inlineStr">
        <is>
          <t>24:00-08:00</t>
        </is>
      </c>
      <c r="G566" t="inlineStr">
        <is>
          <t>John Carlo</t>
        </is>
      </c>
      <c r="H566" t="inlineStr">
        <is>
          <t>Elmore</t>
        </is>
      </c>
    </row>
    <row r="567">
      <c r="A567" t="inlineStr">
        <is>
          <t>2026-09-26</t>
        </is>
      </c>
      <c r="B567" t="inlineStr">
        <is>
          <t>Sat</t>
        </is>
      </c>
      <c r="C567" t="inlineStr">
        <is>
          <t>Farming</t>
        </is>
      </c>
      <c r="D567" t="inlineStr">
        <is>
          <t>Sinsang</t>
        </is>
      </c>
      <c r="E567" t="n">
        <v>1</v>
      </c>
      <c r="F567" t="inlineStr">
        <is>
          <t>24:00-08:00</t>
        </is>
      </c>
    </row>
    <row r="568">
      <c r="A568" t="inlineStr">
        <is>
          <t>2026-09-26</t>
        </is>
      </c>
      <c r="B568" t="inlineStr">
        <is>
          <t>Sat</t>
        </is>
      </c>
      <c r="C568" t="inlineStr">
        <is>
          <t>Farming</t>
        </is>
      </c>
      <c r="D568" t="inlineStr">
        <is>
          <t>Sudden</t>
        </is>
      </c>
      <c r="E568" t="n">
        <v>1</v>
      </c>
      <c r="F568" t="inlineStr">
        <is>
          <t>08:00-16:00</t>
        </is>
      </c>
    </row>
    <row r="569">
      <c r="A569" t="inlineStr">
        <is>
          <t>2026-09-26</t>
        </is>
      </c>
      <c r="B569" t="inlineStr">
        <is>
          <t>Sat</t>
        </is>
      </c>
      <c r="C569" t="inlineStr">
        <is>
          <t>Farming</t>
        </is>
      </c>
      <c r="D569" t="inlineStr">
        <is>
          <t>Sudden</t>
        </is>
      </c>
      <c r="E569" t="n">
        <v>2</v>
      </c>
      <c r="F569" t="inlineStr">
        <is>
          <t>16:00-24:00</t>
        </is>
      </c>
      <c r="H569" t="inlineStr">
        <is>
          <t>ELMORE &amp; DD</t>
        </is>
      </c>
    </row>
    <row r="570">
      <c r="A570" t="inlineStr">
        <is>
          <t>2026-09-26</t>
        </is>
      </c>
      <c r="B570" t="inlineStr">
        <is>
          <t>Sat</t>
        </is>
      </c>
      <c r="C570" t="inlineStr">
        <is>
          <t>Farming</t>
        </is>
      </c>
      <c r="D570" t="inlineStr">
        <is>
          <t>Sudden</t>
        </is>
      </c>
      <c r="E570" t="n">
        <v>3</v>
      </c>
      <c r="F570" t="inlineStr">
        <is>
          <t>24:00-08:00</t>
        </is>
      </c>
      <c r="G570" t="inlineStr">
        <is>
          <t>Ehder Lhen</t>
        </is>
      </c>
      <c r="H570" t="inlineStr">
        <is>
          <t>Elmore</t>
        </is>
      </c>
    </row>
    <row r="571">
      <c r="A571" t="inlineStr">
        <is>
          <t>2026-09-26</t>
        </is>
      </c>
      <c r="B571" t="inlineStr">
        <is>
          <t>Sat</t>
        </is>
      </c>
      <c r="C571" t="inlineStr">
        <is>
          <t>Farming</t>
        </is>
      </c>
      <c r="D571" t="inlineStr">
        <is>
          <t>Sunsang</t>
        </is>
      </c>
      <c r="E571" t="n">
        <v>1</v>
      </c>
      <c r="F571" t="inlineStr">
        <is>
          <t>24:00-08:00</t>
        </is>
      </c>
    </row>
    <row r="572">
      <c r="A572" t="inlineStr">
        <is>
          <t>2026-09-26</t>
        </is>
      </c>
      <c r="B572" t="inlineStr">
        <is>
          <t>Sat</t>
        </is>
      </c>
      <c r="C572" t="inlineStr">
        <is>
          <t>Farming</t>
        </is>
      </c>
      <c r="D572" t="inlineStr">
        <is>
          <t>Sunsang</t>
        </is>
      </c>
      <c r="E572" t="n">
        <v>2</v>
      </c>
      <c r="F572" t="inlineStr">
        <is>
          <t>24:00-08:00</t>
        </is>
      </c>
    </row>
    <row r="573">
      <c r="A573" t="inlineStr">
        <is>
          <t>2026-09-26</t>
        </is>
      </c>
      <c r="B573" t="inlineStr">
        <is>
          <t>Sat</t>
        </is>
      </c>
      <c r="C573" t="inlineStr">
        <is>
          <t>Farming</t>
        </is>
      </c>
      <c r="D573" t="inlineStr">
        <is>
          <t>Taejo</t>
        </is>
      </c>
      <c r="E573" t="n">
        <v>1</v>
      </c>
      <c r="F573" t="inlineStr">
        <is>
          <t>08:00-16:00</t>
        </is>
      </c>
    </row>
    <row r="574">
      <c r="A574" t="inlineStr">
        <is>
          <t>2026-09-26</t>
        </is>
      </c>
      <c r="B574" t="inlineStr">
        <is>
          <t>Sat</t>
        </is>
      </c>
      <c r="C574" t="inlineStr">
        <is>
          <t>Farming</t>
        </is>
      </c>
      <c r="D574" t="inlineStr">
        <is>
          <t>Taejo</t>
        </is>
      </c>
      <c r="E574" t="n">
        <v>2</v>
      </c>
      <c r="F574" t="inlineStr">
        <is>
          <t>16:00-24:00</t>
        </is>
      </c>
      <c r="H574" t="inlineStr">
        <is>
          <t>ELMORE &amp; DD</t>
        </is>
      </c>
    </row>
    <row r="575">
      <c r="A575" t="inlineStr">
        <is>
          <t>2026-09-26</t>
        </is>
      </c>
      <c r="B575" t="inlineStr">
        <is>
          <t>Sat</t>
        </is>
      </c>
      <c r="C575" t="inlineStr">
        <is>
          <t>Farming</t>
        </is>
      </c>
      <c r="D575" t="inlineStr">
        <is>
          <t>Taejo</t>
        </is>
      </c>
      <c r="E575" t="n">
        <v>3</v>
      </c>
      <c r="F575" t="inlineStr">
        <is>
          <t>24:00-08:00</t>
        </is>
      </c>
      <c r="G575" t="inlineStr">
        <is>
          <t>Lemark</t>
        </is>
      </c>
      <c r="H575" t="inlineStr">
        <is>
          <t>Elmore</t>
        </is>
      </c>
    </row>
    <row r="576">
      <c r="A576" t="inlineStr">
        <is>
          <t>2026-09-27</t>
        </is>
      </c>
      <c r="B576" t="inlineStr">
        <is>
          <t>Sun</t>
        </is>
      </c>
      <c r="C576" t="inlineStr">
        <is>
          <t>Client</t>
        </is>
      </c>
      <c r="D576" t="inlineStr">
        <is>
          <t>ADA</t>
        </is>
      </c>
      <c r="E576" t="n">
        <v>1</v>
      </c>
      <c r="F576" t="inlineStr">
        <is>
          <t>09:00-17:00</t>
        </is>
      </c>
    </row>
    <row r="577">
      <c r="A577" t="inlineStr">
        <is>
          <t>2026-09-27</t>
        </is>
      </c>
      <c r="B577" t="inlineStr">
        <is>
          <t>Sun</t>
        </is>
      </c>
      <c r="C577" t="inlineStr">
        <is>
          <t>Client</t>
        </is>
      </c>
      <c r="D577" t="inlineStr">
        <is>
          <t>ADA</t>
        </is>
      </c>
      <c r="E577" t="n">
        <v>2</v>
      </c>
      <c r="F577" t="inlineStr">
        <is>
          <t>OFF</t>
        </is>
      </c>
    </row>
    <row r="578">
      <c r="A578" t="inlineStr">
        <is>
          <t>2026-09-27</t>
        </is>
      </c>
      <c r="B578" t="inlineStr">
        <is>
          <t>Sun</t>
        </is>
      </c>
      <c r="C578" t="inlineStr">
        <is>
          <t>Client</t>
        </is>
      </c>
      <c r="D578" t="inlineStr">
        <is>
          <t>Alex</t>
        </is>
      </c>
      <c r="E578" t="n">
        <v>1</v>
      </c>
      <c r="F578" t="inlineStr">
        <is>
          <t>08:00-16:00</t>
        </is>
      </c>
      <c r="H578" t="inlineStr">
        <is>
          <t>Ivory Tower 4~5</t>
        </is>
      </c>
    </row>
    <row r="579">
      <c r="A579" t="inlineStr">
        <is>
          <t>2026-09-27</t>
        </is>
      </c>
      <c r="B579" t="inlineStr">
        <is>
          <t>Sun</t>
        </is>
      </c>
      <c r="C579" t="inlineStr">
        <is>
          <t>Client</t>
        </is>
      </c>
      <c r="D579" t="inlineStr">
        <is>
          <t>Alex</t>
        </is>
      </c>
      <c r="E579" t="n">
        <v>2</v>
      </c>
      <c r="F579" t="inlineStr">
        <is>
          <t>OFF</t>
        </is>
      </c>
      <c r="H579" t="inlineStr">
        <is>
          <t>Ivory Tower 6~7</t>
        </is>
      </c>
    </row>
    <row r="580">
      <c r="A580" t="inlineStr">
        <is>
          <t>2026-09-27</t>
        </is>
      </c>
      <c r="B580" t="inlineStr">
        <is>
          <t>Sun</t>
        </is>
      </c>
      <c r="C580" t="inlineStr">
        <is>
          <t>Client</t>
        </is>
      </c>
      <c r="D580" t="inlineStr">
        <is>
          <t>Alex</t>
        </is>
      </c>
      <c r="E580" t="n">
        <v>3</v>
      </c>
      <c r="F580" t="inlineStr">
        <is>
          <t>01:00-08:00</t>
        </is>
      </c>
      <c r="H580" t="inlineStr">
        <is>
          <t>Ivory Tower 4~5</t>
        </is>
      </c>
    </row>
    <row r="581">
      <c r="A581" t="inlineStr">
        <is>
          <t>2026-09-27</t>
        </is>
      </c>
      <c r="B581" t="inlineStr">
        <is>
          <t>Sun</t>
        </is>
      </c>
      <c r="C581" t="inlineStr">
        <is>
          <t>Client</t>
        </is>
      </c>
      <c r="D581" t="inlineStr">
        <is>
          <t>Beongaebul</t>
        </is>
      </c>
      <c r="E581" t="n">
        <v>1</v>
      </c>
      <c r="F581" t="inlineStr">
        <is>
          <t>OFF</t>
        </is>
      </c>
    </row>
    <row r="582">
      <c r="A582" t="inlineStr">
        <is>
          <t>2026-09-27</t>
        </is>
      </c>
      <c r="B582" t="inlineStr">
        <is>
          <t>Sun</t>
        </is>
      </c>
      <c r="C582" t="inlineStr">
        <is>
          <t>Client</t>
        </is>
      </c>
      <c r="D582" t="inlineStr">
        <is>
          <t>Captain</t>
        </is>
      </c>
      <c r="E582" t="n">
        <v>1</v>
      </c>
      <c r="F582" t="inlineStr">
        <is>
          <t>OFF</t>
        </is>
      </c>
    </row>
    <row r="583">
      <c r="A583" t="inlineStr">
        <is>
          <t>2026-09-27</t>
        </is>
      </c>
      <c r="B583" t="inlineStr">
        <is>
          <t>Sun</t>
        </is>
      </c>
      <c r="C583" t="inlineStr">
        <is>
          <t>Client</t>
        </is>
      </c>
      <c r="D583" t="inlineStr">
        <is>
          <t>Captain</t>
        </is>
      </c>
      <c r="E583" t="n">
        <v>2</v>
      </c>
      <c r="F583" t="inlineStr">
        <is>
          <t>OFF</t>
        </is>
      </c>
    </row>
    <row r="584">
      <c r="A584" t="inlineStr">
        <is>
          <t>2026-09-27</t>
        </is>
      </c>
      <c r="B584" t="inlineStr">
        <is>
          <t>Sun</t>
        </is>
      </c>
      <c r="C584" t="inlineStr">
        <is>
          <t>Client</t>
        </is>
      </c>
      <c r="D584" t="inlineStr">
        <is>
          <t>Dalo</t>
        </is>
      </c>
      <c r="E584" t="n">
        <v>1</v>
      </c>
      <c r="F584" t="inlineStr">
        <is>
          <t>OFF</t>
        </is>
      </c>
    </row>
    <row r="585">
      <c r="A585" t="inlineStr">
        <is>
          <t>2026-09-27</t>
        </is>
      </c>
      <c r="B585" t="inlineStr">
        <is>
          <t>Sun</t>
        </is>
      </c>
      <c r="C585" t="inlineStr">
        <is>
          <t>Client</t>
        </is>
      </c>
      <c r="D585" t="inlineStr">
        <is>
          <t>Dalo</t>
        </is>
      </c>
      <c r="E585" t="n">
        <v>2</v>
      </c>
      <c r="F585" t="inlineStr">
        <is>
          <t>OFF</t>
        </is>
      </c>
    </row>
    <row r="586">
      <c r="A586" t="inlineStr">
        <is>
          <t>2026-09-27</t>
        </is>
      </c>
      <c r="B586" t="inlineStr">
        <is>
          <t>Sun</t>
        </is>
      </c>
      <c r="C586" t="inlineStr">
        <is>
          <t>Client</t>
        </is>
      </c>
      <c r="D586" t="inlineStr">
        <is>
          <t>Dalo</t>
        </is>
      </c>
      <c r="E586" t="n">
        <v>3</v>
      </c>
      <c r="F586" t="inlineStr">
        <is>
          <t>OFF</t>
        </is>
      </c>
    </row>
    <row r="587">
      <c r="A587" t="inlineStr">
        <is>
          <t>2026-09-27</t>
        </is>
      </c>
      <c r="B587" t="inlineStr">
        <is>
          <t>Sun</t>
        </is>
      </c>
      <c r="C587" t="inlineStr">
        <is>
          <t>Client</t>
        </is>
      </c>
      <c r="D587" t="inlineStr">
        <is>
          <t>Dodam</t>
        </is>
      </c>
      <c r="E587" t="n">
        <v>1</v>
      </c>
      <c r="F587" t="inlineStr">
        <is>
          <t>23:00-11:00</t>
        </is>
      </c>
      <c r="H587" t="inlineStr">
        <is>
          <t>Island of Dreams</t>
        </is>
      </c>
    </row>
    <row r="588">
      <c r="A588" t="inlineStr">
        <is>
          <t>2026-09-27</t>
        </is>
      </c>
      <c r="B588" t="inlineStr">
        <is>
          <t>Sun</t>
        </is>
      </c>
      <c r="C588" t="inlineStr">
        <is>
          <t>Client</t>
        </is>
      </c>
      <c r="D588" t="inlineStr">
        <is>
          <t>Dodam</t>
        </is>
      </c>
      <c r="E588" t="n">
        <v>2</v>
      </c>
      <c r="F588" t="inlineStr">
        <is>
          <t>07:00-19:00</t>
        </is>
      </c>
    </row>
    <row r="589">
      <c r="A589" t="inlineStr">
        <is>
          <t>2026-09-27</t>
        </is>
      </c>
      <c r="B589" t="inlineStr">
        <is>
          <t>Sun</t>
        </is>
      </c>
      <c r="C589" t="inlineStr">
        <is>
          <t>Client</t>
        </is>
      </c>
      <c r="D589" t="inlineStr">
        <is>
          <t>Dol</t>
        </is>
      </c>
      <c r="E589" t="n">
        <v>1</v>
      </c>
      <c r="F589" t="inlineStr">
        <is>
          <t>24:00-08:00</t>
        </is>
      </c>
      <c r="H589" t="inlineStr">
        <is>
          <t>Dragon Valley</t>
        </is>
      </c>
    </row>
    <row r="590">
      <c r="A590" t="inlineStr">
        <is>
          <t>2026-09-27</t>
        </is>
      </c>
      <c r="B590" t="inlineStr">
        <is>
          <t>Sun</t>
        </is>
      </c>
      <c r="C590" t="inlineStr">
        <is>
          <t>Client</t>
        </is>
      </c>
      <c r="D590" t="inlineStr">
        <is>
          <t>Dol</t>
        </is>
      </c>
      <c r="E590" t="n">
        <v>2</v>
      </c>
      <c r="F590" t="inlineStr">
        <is>
          <t>OFF</t>
        </is>
      </c>
    </row>
    <row r="591">
      <c r="A591" t="inlineStr">
        <is>
          <t>2026-09-27</t>
        </is>
      </c>
      <c r="B591" t="inlineStr">
        <is>
          <t>Sun</t>
        </is>
      </c>
      <c r="C591" t="inlineStr">
        <is>
          <t>Client</t>
        </is>
      </c>
      <c r="D591" t="inlineStr">
        <is>
          <t>Doma</t>
        </is>
      </c>
      <c r="E591" t="n">
        <v>1</v>
      </c>
      <c r="F591" t="inlineStr">
        <is>
          <t>OFF</t>
        </is>
      </c>
    </row>
    <row r="592">
      <c r="A592" t="inlineStr">
        <is>
          <t>2026-09-27</t>
        </is>
      </c>
      <c r="B592" t="inlineStr">
        <is>
          <t>Sun</t>
        </is>
      </c>
      <c r="C592" t="inlineStr">
        <is>
          <t>Client</t>
        </is>
      </c>
      <c r="D592" t="inlineStr">
        <is>
          <t>Doma</t>
        </is>
      </c>
      <c r="E592" t="n">
        <v>2</v>
      </c>
      <c r="F592" t="inlineStr">
        <is>
          <t>21:00-09:00</t>
        </is>
      </c>
      <c r="H592" t="inlineStr">
        <is>
          <t>Ivory Tower</t>
        </is>
      </c>
    </row>
    <row r="593">
      <c r="A593" t="inlineStr">
        <is>
          <t>2026-09-27</t>
        </is>
      </c>
      <c r="B593" t="inlineStr">
        <is>
          <t>Sun</t>
        </is>
      </c>
      <c r="C593" t="inlineStr">
        <is>
          <t>Client</t>
        </is>
      </c>
      <c r="D593" t="inlineStr">
        <is>
          <t>Duga</t>
        </is>
      </c>
      <c r="E593" t="n">
        <v>1</v>
      </c>
      <c r="F593" t="inlineStr">
        <is>
          <t>07:00-15:00</t>
        </is>
      </c>
    </row>
    <row r="594">
      <c r="A594" t="inlineStr">
        <is>
          <t>2026-09-27</t>
        </is>
      </c>
      <c r="B594" t="inlineStr">
        <is>
          <t>Sun</t>
        </is>
      </c>
      <c r="C594" t="inlineStr">
        <is>
          <t>Client</t>
        </is>
      </c>
      <c r="D594" t="inlineStr">
        <is>
          <t>Elf</t>
        </is>
      </c>
      <c r="E594" t="n">
        <v>1</v>
      </c>
      <c r="F594" t="inlineStr">
        <is>
          <t>OFF</t>
        </is>
      </c>
    </row>
    <row r="595">
      <c r="A595" t="inlineStr">
        <is>
          <t>2026-09-27</t>
        </is>
      </c>
      <c r="B595" t="inlineStr">
        <is>
          <t>Sun</t>
        </is>
      </c>
      <c r="C595" t="inlineStr">
        <is>
          <t>Client</t>
        </is>
      </c>
      <c r="D595" t="inlineStr">
        <is>
          <t>Geonbae</t>
        </is>
      </c>
      <c r="E595" t="n">
        <v>1</v>
      </c>
      <c r="F595" t="inlineStr">
        <is>
          <t>OFF</t>
        </is>
      </c>
    </row>
    <row r="596">
      <c r="A596" t="inlineStr">
        <is>
          <t>2026-09-27</t>
        </is>
      </c>
      <c r="B596" t="inlineStr">
        <is>
          <t>Sun</t>
        </is>
      </c>
      <c r="C596" t="inlineStr">
        <is>
          <t>Client</t>
        </is>
      </c>
      <c r="D596" t="inlineStr">
        <is>
          <t>Geonbae</t>
        </is>
      </c>
      <c r="E596" t="n">
        <v>2</v>
      </c>
      <c r="F596" t="inlineStr">
        <is>
          <t>23:00-07:00</t>
        </is>
      </c>
      <c r="H596" t="inlineStr">
        <is>
          <t>Ivory Tower</t>
        </is>
      </c>
    </row>
    <row r="597">
      <c r="A597" t="inlineStr">
        <is>
          <t>2026-09-27</t>
        </is>
      </c>
      <c r="B597" t="inlineStr">
        <is>
          <t>Sun</t>
        </is>
      </c>
      <c r="C597" t="inlineStr">
        <is>
          <t>Client</t>
        </is>
      </c>
      <c r="D597" t="inlineStr">
        <is>
          <t>Goop</t>
        </is>
      </c>
      <c r="E597" t="n">
        <v>1</v>
      </c>
      <c r="F597" t="inlineStr">
        <is>
          <t>OFF</t>
        </is>
      </c>
    </row>
    <row r="598">
      <c r="A598" t="inlineStr">
        <is>
          <t>2026-09-27</t>
        </is>
      </c>
      <c r="B598" t="inlineStr">
        <is>
          <t>Sun</t>
        </is>
      </c>
      <c r="C598" t="inlineStr">
        <is>
          <t>Client</t>
        </is>
      </c>
      <c r="D598" t="inlineStr">
        <is>
          <t>Heon</t>
        </is>
      </c>
      <c r="E598" t="n">
        <v>1</v>
      </c>
      <c r="F598" t="inlineStr">
        <is>
          <t>OFF</t>
        </is>
      </c>
      <c r="H598" t="inlineStr">
        <is>
          <t>Abandoned Land (Abyss) 6
ivory tower 2</t>
        </is>
      </c>
    </row>
    <row r="599">
      <c r="A599" t="inlineStr">
        <is>
          <t>2026-09-27</t>
        </is>
      </c>
      <c r="B599" t="inlineStr">
        <is>
          <t>Sun</t>
        </is>
      </c>
      <c r="C599" t="inlineStr">
        <is>
          <t>Client</t>
        </is>
      </c>
      <c r="D599" t="inlineStr">
        <is>
          <t>Jjuni</t>
        </is>
      </c>
      <c r="E599" t="n">
        <v>1</v>
      </c>
      <c r="F599" t="inlineStr">
        <is>
          <t>OFF</t>
        </is>
      </c>
    </row>
    <row r="600">
      <c r="A600" t="inlineStr">
        <is>
          <t>2026-09-27</t>
        </is>
      </c>
      <c r="B600" t="inlineStr">
        <is>
          <t>Sun</t>
        </is>
      </c>
      <c r="C600" t="inlineStr">
        <is>
          <t>Client</t>
        </is>
      </c>
      <c r="D600" t="inlineStr">
        <is>
          <t>Jjuni</t>
        </is>
      </c>
      <c r="E600" t="n">
        <v>2</v>
      </c>
      <c r="F600" t="inlineStr">
        <is>
          <t>OFF</t>
        </is>
      </c>
    </row>
    <row r="601">
      <c r="A601" t="inlineStr">
        <is>
          <t>2026-09-27</t>
        </is>
      </c>
      <c r="B601" t="inlineStr">
        <is>
          <t>Sun</t>
        </is>
      </c>
      <c r="C601" t="inlineStr">
        <is>
          <t>Client</t>
        </is>
      </c>
      <c r="D601" t="inlineStr">
        <is>
          <t>Jjuni</t>
        </is>
      </c>
      <c r="E601" t="n">
        <v>3</v>
      </c>
      <c r="F601" t="inlineStr">
        <is>
          <t>OFF</t>
        </is>
      </c>
      <c r="H601" t="inlineStr">
        <is>
          <t>Ivory Tower</t>
        </is>
      </c>
    </row>
    <row r="602">
      <c r="A602" t="inlineStr">
        <is>
          <t>2026-09-27</t>
        </is>
      </c>
      <c r="B602" t="inlineStr">
        <is>
          <t>Sun</t>
        </is>
      </c>
      <c r="C602" t="inlineStr">
        <is>
          <t>Client</t>
        </is>
      </c>
      <c r="D602" t="inlineStr">
        <is>
          <t>Jo</t>
        </is>
      </c>
      <c r="E602" t="n">
        <v>1</v>
      </c>
      <c r="F602" t="inlineStr">
        <is>
          <t>OFF</t>
        </is>
      </c>
    </row>
    <row r="603">
      <c r="A603" t="inlineStr">
        <is>
          <t>2026-09-27</t>
        </is>
      </c>
      <c r="B603" t="inlineStr">
        <is>
          <t>Sun</t>
        </is>
      </c>
      <c r="C603" t="inlineStr">
        <is>
          <t>Client</t>
        </is>
      </c>
      <c r="D603" t="inlineStr">
        <is>
          <t>Lammy Queen</t>
        </is>
      </c>
      <c r="E603" t="n">
        <v>1</v>
      </c>
      <c r="F603" t="inlineStr">
        <is>
          <t>OFF</t>
        </is>
      </c>
    </row>
    <row r="604">
      <c r="A604" t="inlineStr">
        <is>
          <t>2026-09-27</t>
        </is>
      </c>
      <c r="B604" t="inlineStr">
        <is>
          <t>Sun</t>
        </is>
      </c>
      <c r="C604" t="inlineStr">
        <is>
          <t>Client</t>
        </is>
      </c>
      <c r="D604" t="inlineStr">
        <is>
          <t>Lammy Queen</t>
        </is>
      </c>
      <c r="E604" t="n">
        <v>2</v>
      </c>
      <c r="F604" t="inlineStr">
        <is>
          <t>02:00-09:00</t>
        </is>
      </c>
      <c r="H604" t="inlineStr">
        <is>
          <t>Abandon Land</t>
        </is>
      </c>
    </row>
    <row r="605">
      <c r="A605" t="inlineStr">
        <is>
          <t>2026-09-27</t>
        </is>
      </c>
      <c r="B605" t="inlineStr">
        <is>
          <t>Sun</t>
        </is>
      </c>
      <c r="C605" t="inlineStr">
        <is>
          <t>Client</t>
        </is>
      </c>
      <c r="D605" t="inlineStr">
        <is>
          <t>Lolly</t>
        </is>
      </c>
      <c r="E605" t="n">
        <v>1</v>
      </c>
      <c r="F605" t="inlineStr">
        <is>
          <t>07:00-15:00</t>
        </is>
      </c>
      <c r="H605" t="inlineStr">
        <is>
          <t>abandoned land 3
a land of corruption5</t>
        </is>
      </c>
    </row>
    <row r="606">
      <c r="A606" t="inlineStr">
        <is>
          <t>2026-09-27</t>
        </is>
      </c>
      <c r="B606" t="inlineStr">
        <is>
          <t>Sun</t>
        </is>
      </c>
      <c r="C606" t="inlineStr">
        <is>
          <t>Client</t>
        </is>
      </c>
      <c r="D606" t="inlineStr">
        <is>
          <t>Mukkbo</t>
        </is>
      </c>
      <c r="E606" t="n">
        <v>1</v>
      </c>
      <c r="F606" t="inlineStr">
        <is>
          <t>OFF</t>
        </is>
      </c>
    </row>
    <row r="607">
      <c r="A607" t="inlineStr">
        <is>
          <t>2026-09-27</t>
        </is>
      </c>
      <c r="B607" t="inlineStr">
        <is>
          <t>Sun</t>
        </is>
      </c>
      <c r="C607" t="inlineStr">
        <is>
          <t>Client</t>
        </is>
      </c>
      <c r="D607" t="inlineStr">
        <is>
          <t>Mukkbo</t>
        </is>
      </c>
      <c r="E607" t="n">
        <v>2</v>
      </c>
      <c r="F607" t="inlineStr">
        <is>
          <t>OFF</t>
        </is>
      </c>
    </row>
    <row r="608">
      <c r="A608" t="inlineStr">
        <is>
          <t>2026-09-27</t>
        </is>
      </c>
      <c r="B608" t="inlineStr">
        <is>
          <t>Sun</t>
        </is>
      </c>
      <c r="C608" t="inlineStr">
        <is>
          <t>Client</t>
        </is>
      </c>
      <c r="D608" t="inlineStr">
        <is>
          <t>Munjin</t>
        </is>
      </c>
      <c r="E608" t="n">
        <v>1</v>
      </c>
      <c r="F608" t="inlineStr">
        <is>
          <t>OFF</t>
        </is>
      </c>
    </row>
    <row r="609">
      <c r="A609" t="inlineStr">
        <is>
          <t>2026-09-27</t>
        </is>
      </c>
      <c r="B609" t="inlineStr">
        <is>
          <t>Sun</t>
        </is>
      </c>
      <c r="C609" t="inlineStr">
        <is>
          <t>Client</t>
        </is>
      </c>
      <c r="D609" t="inlineStr">
        <is>
          <t>Neburegi</t>
        </is>
      </c>
      <c r="E609" t="n">
        <v>1</v>
      </c>
      <c r="F609" t="inlineStr">
        <is>
          <t>OFF</t>
        </is>
      </c>
    </row>
    <row r="610">
      <c r="A610" t="inlineStr">
        <is>
          <t>2026-09-27</t>
        </is>
      </c>
      <c r="B610" t="inlineStr">
        <is>
          <t>Sun</t>
        </is>
      </c>
      <c r="C610" t="inlineStr">
        <is>
          <t>Client</t>
        </is>
      </c>
      <c r="D610" t="inlineStr">
        <is>
          <t>Olleh</t>
        </is>
      </c>
      <c r="E610" t="n">
        <v>1</v>
      </c>
      <c r="F610" t="inlineStr">
        <is>
          <t>OFF</t>
        </is>
      </c>
    </row>
    <row r="611">
      <c r="A611" t="inlineStr">
        <is>
          <t>2026-09-27</t>
        </is>
      </c>
      <c r="B611" t="inlineStr">
        <is>
          <t>Sun</t>
        </is>
      </c>
      <c r="C611" t="inlineStr">
        <is>
          <t>Client</t>
        </is>
      </c>
      <c r="D611" t="inlineStr">
        <is>
          <t>Olleh</t>
        </is>
      </c>
      <c r="E611" t="n">
        <v>2</v>
      </c>
      <c r="F611" t="inlineStr">
        <is>
          <t>OFF</t>
        </is>
      </c>
      <c r="H611" t="inlineStr">
        <is>
          <t>Ivory Tower</t>
        </is>
      </c>
    </row>
    <row r="612">
      <c r="A612" t="inlineStr">
        <is>
          <t>2026-09-27</t>
        </is>
      </c>
      <c r="B612" t="inlineStr">
        <is>
          <t>Sun</t>
        </is>
      </c>
      <c r="C612" t="inlineStr">
        <is>
          <t>Client</t>
        </is>
      </c>
      <c r="D612" t="inlineStr">
        <is>
          <t>Perez</t>
        </is>
      </c>
      <c r="E612" t="n">
        <v>1</v>
      </c>
      <c r="F612" t="inlineStr">
        <is>
          <t>08:00-16:00</t>
        </is>
      </c>
    </row>
    <row r="613">
      <c r="A613" t="inlineStr">
        <is>
          <t>2026-09-27</t>
        </is>
      </c>
      <c r="B613" t="inlineStr">
        <is>
          <t>Sun</t>
        </is>
      </c>
      <c r="C613" t="inlineStr">
        <is>
          <t>Client</t>
        </is>
      </c>
      <c r="D613" t="inlineStr">
        <is>
          <t>Perez</t>
        </is>
      </c>
      <c r="E613" t="n">
        <v>2</v>
      </c>
      <c r="F613" t="inlineStr">
        <is>
          <t>13:00-18:00</t>
        </is>
      </c>
      <c r="H613" t="inlineStr">
        <is>
          <t>IVORY TOWER / PEREZ</t>
        </is>
      </c>
    </row>
    <row r="614">
      <c r="A614" t="inlineStr">
        <is>
          <t>2026-09-27</t>
        </is>
      </c>
      <c r="B614" t="inlineStr">
        <is>
          <t>Sun</t>
        </is>
      </c>
      <c r="C614" t="inlineStr">
        <is>
          <t>Client</t>
        </is>
      </c>
      <c r="D614" t="inlineStr">
        <is>
          <t>Perez</t>
        </is>
      </c>
      <c r="E614" t="n">
        <v>3</v>
      </c>
      <c r="F614" t="inlineStr">
        <is>
          <t>21:00-05:00</t>
        </is>
      </c>
      <c r="H614" t="inlineStr">
        <is>
          <t>Abandon Land</t>
        </is>
      </c>
    </row>
    <row r="615">
      <c r="A615" t="inlineStr">
        <is>
          <t>2026-09-27</t>
        </is>
      </c>
      <c r="B615" t="inlineStr">
        <is>
          <t>Sun</t>
        </is>
      </c>
      <c r="C615" t="inlineStr">
        <is>
          <t>Client</t>
        </is>
      </c>
      <c r="D615" t="inlineStr">
        <is>
          <t>Power20</t>
        </is>
      </c>
      <c r="E615" t="n">
        <v>1</v>
      </c>
      <c r="F615" t="inlineStr">
        <is>
          <t>10:00-19:00</t>
        </is>
      </c>
    </row>
    <row r="616">
      <c r="A616" t="inlineStr">
        <is>
          <t>2026-09-27</t>
        </is>
      </c>
      <c r="B616" t="inlineStr">
        <is>
          <t>Sun</t>
        </is>
      </c>
      <c r="C616" t="inlineStr">
        <is>
          <t>Client</t>
        </is>
      </c>
      <c r="D616" t="inlineStr">
        <is>
          <t>Power20</t>
        </is>
      </c>
      <c r="E616" t="n">
        <v>2</v>
      </c>
      <c r="F616" t="inlineStr">
        <is>
          <t>OFF</t>
        </is>
      </c>
    </row>
    <row r="617">
      <c r="A617" t="inlineStr">
        <is>
          <t>2026-09-27</t>
        </is>
      </c>
      <c r="B617" t="inlineStr">
        <is>
          <t>Sun</t>
        </is>
      </c>
      <c r="C617" t="inlineStr">
        <is>
          <t>Client</t>
        </is>
      </c>
      <c r="D617" t="inlineStr">
        <is>
          <t>Power20</t>
        </is>
      </c>
      <c r="E617" t="n">
        <v>3</v>
      </c>
      <c r="F617" t="inlineStr">
        <is>
          <t>01:00-10:00</t>
        </is>
      </c>
      <c r="H617" t="inlineStr">
        <is>
          <t>Ivory Tower</t>
        </is>
      </c>
    </row>
    <row r="618">
      <c r="A618" t="inlineStr">
        <is>
          <t>2026-09-27</t>
        </is>
      </c>
      <c r="B618" t="inlineStr">
        <is>
          <t>Sun</t>
        </is>
      </c>
      <c r="C618" t="inlineStr">
        <is>
          <t>Client</t>
        </is>
      </c>
      <c r="D618" t="inlineStr">
        <is>
          <t>Real Madrid</t>
        </is>
      </c>
      <c r="E618" t="n">
        <v>1</v>
      </c>
      <c r="F618" t="inlineStr">
        <is>
          <t>24:00-08:00</t>
        </is>
      </c>
      <c r="H618" t="inlineStr">
        <is>
          <t>Ivory Tower</t>
        </is>
      </c>
    </row>
    <row r="619">
      <c r="A619" t="inlineStr">
        <is>
          <t>2026-09-27</t>
        </is>
      </c>
      <c r="B619" t="inlineStr">
        <is>
          <t>Sun</t>
        </is>
      </c>
      <c r="C619" t="inlineStr">
        <is>
          <t>Client</t>
        </is>
      </c>
      <c r="D619" t="inlineStr">
        <is>
          <t>Real Madrid</t>
        </is>
      </c>
      <c r="E619" t="n">
        <v>2</v>
      </c>
      <c r="F619" t="inlineStr">
        <is>
          <t>OFF</t>
        </is>
      </c>
      <c r="H619" t="inlineStr">
        <is>
          <t>Ivory Tower</t>
        </is>
      </c>
    </row>
    <row r="620">
      <c r="A620" t="inlineStr">
        <is>
          <t>2026-09-27</t>
        </is>
      </c>
      <c r="B620" t="inlineStr">
        <is>
          <t>Sun</t>
        </is>
      </c>
      <c r="C620" t="inlineStr">
        <is>
          <t>Client</t>
        </is>
      </c>
      <c r="D620" t="inlineStr">
        <is>
          <t>Real Madrid</t>
        </is>
      </c>
      <c r="E620" t="n">
        <v>3</v>
      </c>
      <c r="F620" t="inlineStr">
        <is>
          <t>OFF</t>
        </is>
      </c>
    </row>
    <row r="621">
      <c r="A621" t="inlineStr">
        <is>
          <t>2026-09-27</t>
        </is>
      </c>
      <c r="B621" t="inlineStr">
        <is>
          <t>Sun</t>
        </is>
      </c>
      <c r="C621" t="inlineStr">
        <is>
          <t>Client</t>
        </is>
      </c>
      <c r="D621" t="inlineStr">
        <is>
          <t>Return</t>
        </is>
      </c>
      <c r="E621" t="n">
        <v>1</v>
      </c>
      <c r="F621" t="inlineStr">
        <is>
          <t>03:00-11:00</t>
        </is>
      </c>
      <c r="H621" t="inlineStr">
        <is>
          <t>Ivory Tower</t>
        </is>
      </c>
    </row>
    <row r="622">
      <c r="A622" t="inlineStr">
        <is>
          <t>2026-09-27</t>
        </is>
      </c>
      <c r="B622" t="inlineStr">
        <is>
          <t>Sun</t>
        </is>
      </c>
      <c r="C622" t="inlineStr">
        <is>
          <t>Client</t>
        </is>
      </c>
      <c r="D622" t="inlineStr">
        <is>
          <t>Road</t>
        </is>
      </c>
      <c r="E622" t="n">
        <v>1</v>
      </c>
      <c r="F622" t="inlineStr">
        <is>
          <t>OFF</t>
        </is>
      </c>
    </row>
    <row r="623">
      <c r="A623" t="inlineStr">
        <is>
          <t>2026-09-27</t>
        </is>
      </c>
      <c r="B623" t="inlineStr">
        <is>
          <t>Sun</t>
        </is>
      </c>
      <c r="C623" t="inlineStr">
        <is>
          <t>Client</t>
        </is>
      </c>
      <c r="D623" t="inlineStr">
        <is>
          <t>SSEN</t>
        </is>
      </c>
      <c r="E623" t="n">
        <v>1</v>
      </c>
      <c r="F623" t="inlineStr">
        <is>
          <t>07:00-19:00</t>
        </is>
      </c>
    </row>
    <row r="624">
      <c r="A624" t="inlineStr">
        <is>
          <t>2026-09-27</t>
        </is>
      </c>
      <c r="B624" t="inlineStr">
        <is>
          <t>Sun</t>
        </is>
      </c>
      <c r="C624" t="inlineStr">
        <is>
          <t>Client</t>
        </is>
      </c>
      <c r="D624" t="inlineStr">
        <is>
          <t>Tiger</t>
        </is>
      </c>
      <c r="E624" t="n">
        <v>1</v>
      </c>
      <c r="F624" t="inlineStr">
        <is>
          <t>OFF</t>
        </is>
      </c>
    </row>
    <row r="625">
      <c r="A625" t="inlineStr">
        <is>
          <t>2026-09-27</t>
        </is>
      </c>
      <c r="B625" t="inlineStr">
        <is>
          <t>Sun</t>
        </is>
      </c>
      <c r="C625" t="inlineStr">
        <is>
          <t>Client</t>
        </is>
      </c>
      <c r="D625" t="inlineStr">
        <is>
          <t>Tiger</t>
        </is>
      </c>
      <c r="E625" t="n">
        <v>2</v>
      </c>
      <c r="F625" t="inlineStr">
        <is>
          <t>OFF</t>
        </is>
      </c>
      <c r="H625" t="inlineStr">
        <is>
          <t>Island of Dreams</t>
        </is>
      </c>
    </row>
    <row r="626">
      <c r="A626" t="inlineStr">
        <is>
          <t>2026-09-27</t>
        </is>
      </c>
      <c r="B626" t="inlineStr">
        <is>
          <t>Sun</t>
        </is>
      </c>
      <c r="C626" t="inlineStr">
        <is>
          <t>Client</t>
        </is>
      </c>
      <c r="D626" t="inlineStr">
        <is>
          <t>Yeoseo</t>
        </is>
      </c>
      <c r="E626" t="n">
        <v>1</v>
      </c>
      <c r="F626" t="inlineStr">
        <is>
          <t>OFF</t>
        </is>
      </c>
      <c r="H626" t="inlineStr">
        <is>
          <t>abandoned land 3
a land of corruption5</t>
        </is>
      </c>
    </row>
    <row r="627">
      <c r="A627" t="inlineStr">
        <is>
          <t>2026-09-27</t>
        </is>
      </c>
      <c r="B627" t="inlineStr">
        <is>
          <t>Sun</t>
        </is>
      </c>
      <c r="C627" t="inlineStr">
        <is>
          <t>Client</t>
        </is>
      </c>
      <c r="D627" t="inlineStr">
        <is>
          <t>Zombie</t>
        </is>
      </c>
      <c r="E627" t="n">
        <v>1</v>
      </c>
      <c r="F627" t="inlineStr">
        <is>
          <t>OFF</t>
        </is>
      </c>
    </row>
    <row r="628">
      <c r="A628" t="inlineStr">
        <is>
          <t>2026-09-27</t>
        </is>
      </c>
      <c r="B628" t="inlineStr">
        <is>
          <t>Sun</t>
        </is>
      </c>
      <c r="C628" t="inlineStr">
        <is>
          <t>Client</t>
        </is>
      </c>
      <c r="D628" t="inlineStr">
        <is>
          <t>Zombie</t>
        </is>
      </c>
      <c r="E628" t="n">
        <v>2</v>
      </c>
      <c r="F628" t="inlineStr">
        <is>
          <t>OFF</t>
        </is>
      </c>
    </row>
    <row r="629">
      <c r="A629" t="inlineStr">
        <is>
          <t>2026-09-27</t>
        </is>
      </c>
      <c r="B629" t="inlineStr">
        <is>
          <t>Sun</t>
        </is>
      </c>
      <c r="C629" t="inlineStr">
        <is>
          <t>Client</t>
        </is>
      </c>
      <c r="D629" t="inlineStr">
        <is>
          <t>Zombie</t>
        </is>
      </c>
      <c r="E629" t="n">
        <v>3</v>
      </c>
      <c r="F629" t="inlineStr">
        <is>
          <t>OFF</t>
        </is>
      </c>
    </row>
    <row r="630">
      <c r="A630" t="inlineStr">
        <is>
          <t>2026-09-27</t>
        </is>
      </c>
      <c r="B630" t="inlineStr">
        <is>
          <t>Sun</t>
        </is>
      </c>
      <c r="C630" t="inlineStr">
        <is>
          <t>Farming</t>
        </is>
      </c>
      <c r="D630" t="inlineStr">
        <is>
          <t>Kangaroo</t>
        </is>
      </c>
      <c r="E630" t="n">
        <v>1</v>
      </c>
      <c r="F630" t="inlineStr">
        <is>
          <t>08:00-16:00</t>
        </is>
      </c>
      <c r="H630" t="inlineStr">
        <is>
          <t>Corrupted Land</t>
        </is>
      </c>
    </row>
    <row r="631">
      <c r="A631" t="inlineStr">
        <is>
          <t>2026-09-27</t>
        </is>
      </c>
      <c r="B631" t="inlineStr">
        <is>
          <t>Sun</t>
        </is>
      </c>
      <c r="C631" t="inlineStr">
        <is>
          <t>Farming</t>
        </is>
      </c>
      <c r="D631" t="inlineStr">
        <is>
          <t>Kangaroo</t>
        </is>
      </c>
      <c r="E631" t="n">
        <v>2</v>
      </c>
      <c r="F631" t="inlineStr">
        <is>
          <t>15:00-18:00</t>
        </is>
      </c>
      <c r="H631" t="inlineStr">
        <is>
          <t>Corrupted Land</t>
        </is>
      </c>
    </row>
    <row r="632">
      <c r="A632" t="inlineStr">
        <is>
          <t>2026-09-27</t>
        </is>
      </c>
      <c r="B632" t="inlineStr">
        <is>
          <t>Sun</t>
        </is>
      </c>
      <c r="C632" t="inlineStr">
        <is>
          <t>Farming</t>
        </is>
      </c>
      <c r="D632" t="inlineStr">
        <is>
          <t>Kangaroo</t>
        </is>
      </c>
      <c r="E632" t="n">
        <v>3</v>
      </c>
      <c r="F632" t="inlineStr">
        <is>
          <t>24:00-08:00</t>
        </is>
      </c>
      <c r="H632" t="inlineStr">
        <is>
          <t>Corrupted Land</t>
        </is>
      </c>
    </row>
    <row r="633">
      <c r="A633" t="inlineStr">
        <is>
          <t>2026-09-27</t>
        </is>
      </c>
      <c r="B633" t="inlineStr">
        <is>
          <t>Sun</t>
        </is>
      </c>
      <c r="C633" t="inlineStr">
        <is>
          <t>Farming</t>
        </is>
      </c>
      <c r="D633" t="inlineStr">
        <is>
          <t>Kyoryu</t>
        </is>
      </c>
      <c r="E633" t="n">
        <v>1</v>
      </c>
      <c r="F633" t="inlineStr">
        <is>
          <t>08:00-16:00</t>
        </is>
      </c>
    </row>
    <row r="634">
      <c r="A634" t="inlineStr">
        <is>
          <t>2026-09-27</t>
        </is>
      </c>
      <c r="B634" t="inlineStr">
        <is>
          <t>Sun</t>
        </is>
      </c>
      <c r="C634" t="inlineStr">
        <is>
          <t>Farming</t>
        </is>
      </c>
      <c r="D634" t="inlineStr">
        <is>
          <t>Kyoryu</t>
        </is>
      </c>
      <c r="E634" t="n">
        <v>2</v>
      </c>
      <c r="F634" t="inlineStr">
        <is>
          <t>16:00-24:00</t>
        </is>
      </c>
      <c r="H634" t="inlineStr">
        <is>
          <t>ELMORE &amp; DD</t>
        </is>
      </c>
    </row>
    <row r="635">
      <c r="A635" t="inlineStr">
        <is>
          <t>2026-09-27</t>
        </is>
      </c>
      <c r="B635" t="inlineStr">
        <is>
          <t>Sun</t>
        </is>
      </c>
      <c r="C635" t="inlineStr">
        <is>
          <t>Farming</t>
        </is>
      </c>
      <c r="D635" t="inlineStr">
        <is>
          <t>Kyoryu</t>
        </is>
      </c>
      <c r="E635" t="n">
        <v>3</v>
      </c>
      <c r="F635" t="inlineStr">
        <is>
          <t>24:00-02:00</t>
        </is>
      </c>
      <c r="H635" t="inlineStr">
        <is>
          <t>Elmore</t>
        </is>
      </c>
    </row>
    <row r="636">
      <c r="A636" t="inlineStr">
        <is>
          <t>2026-09-27</t>
        </is>
      </c>
      <c r="B636" t="inlineStr">
        <is>
          <t>Sun</t>
        </is>
      </c>
      <c r="C636" t="inlineStr">
        <is>
          <t>Farming</t>
        </is>
      </c>
      <c r="D636" t="inlineStr">
        <is>
          <t>Marcelo</t>
        </is>
      </c>
      <c r="E636" t="n">
        <v>1</v>
      </c>
      <c r="F636" t="inlineStr">
        <is>
          <t>08:00-16:00</t>
        </is>
      </c>
    </row>
    <row r="637">
      <c r="A637" t="inlineStr">
        <is>
          <t>2026-09-27</t>
        </is>
      </c>
      <c r="B637" t="inlineStr">
        <is>
          <t>Sun</t>
        </is>
      </c>
      <c r="C637" t="inlineStr">
        <is>
          <t>Farming</t>
        </is>
      </c>
      <c r="D637" t="inlineStr">
        <is>
          <t>Marcelo</t>
        </is>
      </c>
      <c r="E637" t="n">
        <v>2</v>
      </c>
      <c r="F637" t="inlineStr">
        <is>
          <t>16:00-24:00</t>
        </is>
      </c>
      <c r="H637" t="inlineStr">
        <is>
          <t>ELMORE &amp; DD</t>
        </is>
      </c>
    </row>
    <row r="638">
      <c r="A638" t="inlineStr">
        <is>
          <t>2026-09-27</t>
        </is>
      </c>
      <c r="B638" t="inlineStr">
        <is>
          <t>Sun</t>
        </is>
      </c>
      <c r="C638" t="inlineStr">
        <is>
          <t>Farming</t>
        </is>
      </c>
      <c r="D638" t="inlineStr">
        <is>
          <t>Marcelo</t>
        </is>
      </c>
      <c r="E638" t="n">
        <v>3</v>
      </c>
      <c r="F638" t="inlineStr">
        <is>
          <t>24:00-08:00</t>
        </is>
      </c>
      <c r="H638" t="inlineStr">
        <is>
          <t>Elmore</t>
        </is>
      </c>
    </row>
    <row r="639">
      <c r="A639" t="inlineStr">
        <is>
          <t>2026-09-27</t>
        </is>
      </c>
      <c r="B639" t="inlineStr">
        <is>
          <t>Sun</t>
        </is>
      </c>
      <c r="C639" t="inlineStr">
        <is>
          <t>Farming</t>
        </is>
      </c>
      <c r="D639" t="inlineStr">
        <is>
          <t>OldBlood</t>
        </is>
      </c>
      <c r="E639" t="n">
        <v>1</v>
      </c>
      <c r="F639" t="inlineStr">
        <is>
          <t>OFF</t>
        </is>
      </c>
    </row>
    <row r="640">
      <c r="A640" t="inlineStr">
        <is>
          <t>2026-09-27</t>
        </is>
      </c>
      <c r="B640" t="inlineStr">
        <is>
          <t>Sun</t>
        </is>
      </c>
      <c r="C640" t="inlineStr">
        <is>
          <t>Farming</t>
        </is>
      </c>
      <c r="D640" t="inlineStr">
        <is>
          <t>Pele</t>
        </is>
      </c>
      <c r="E640" t="n">
        <v>1</v>
      </c>
      <c r="F640" t="inlineStr">
        <is>
          <t>08:00-16:00</t>
        </is>
      </c>
    </row>
    <row r="641">
      <c r="A641" t="inlineStr">
        <is>
          <t>2026-09-27</t>
        </is>
      </c>
      <c r="B641" t="inlineStr">
        <is>
          <t>Sun</t>
        </is>
      </c>
      <c r="C641" t="inlineStr">
        <is>
          <t>Farming</t>
        </is>
      </c>
      <c r="D641" t="inlineStr">
        <is>
          <t>Pele</t>
        </is>
      </c>
      <c r="E641" t="n">
        <v>2</v>
      </c>
      <c r="F641" t="inlineStr">
        <is>
          <t>16:00-24:00</t>
        </is>
      </c>
      <c r="H641" t="inlineStr">
        <is>
          <t>ANT &amp; ELMORE</t>
        </is>
      </c>
    </row>
    <row r="642">
      <c r="A642" t="inlineStr">
        <is>
          <t>2026-09-27</t>
        </is>
      </c>
      <c r="B642" t="inlineStr">
        <is>
          <t>Sun</t>
        </is>
      </c>
      <c r="C642" t="inlineStr">
        <is>
          <t>Farming</t>
        </is>
      </c>
      <c r="D642" t="inlineStr">
        <is>
          <t>Pele</t>
        </is>
      </c>
      <c r="E642" t="n">
        <v>3</v>
      </c>
      <c r="F642" t="inlineStr">
        <is>
          <t>24:00-06:00</t>
        </is>
      </c>
      <c r="H642" t="inlineStr">
        <is>
          <t>ELMORE</t>
        </is>
      </c>
    </row>
    <row r="643">
      <c r="A643" t="inlineStr">
        <is>
          <t>2026-09-27</t>
        </is>
      </c>
      <c r="B643" t="inlineStr">
        <is>
          <t>Sun</t>
        </is>
      </c>
      <c r="C643" t="inlineStr">
        <is>
          <t>Farming</t>
        </is>
      </c>
      <c r="D643" t="inlineStr">
        <is>
          <t>Ronaldo</t>
        </is>
      </c>
      <c r="E643" t="n">
        <v>1</v>
      </c>
      <c r="F643" t="inlineStr">
        <is>
          <t>08:00-16:00</t>
        </is>
      </c>
    </row>
    <row r="644">
      <c r="A644" t="inlineStr">
        <is>
          <t>2026-09-27</t>
        </is>
      </c>
      <c r="B644" t="inlineStr">
        <is>
          <t>Sun</t>
        </is>
      </c>
      <c r="C644" t="inlineStr">
        <is>
          <t>Farming</t>
        </is>
      </c>
      <c r="D644" t="inlineStr">
        <is>
          <t>Ronaldo</t>
        </is>
      </c>
      <c r="E644" t="n">
        <v>2</v>
      </c>
      <c r="F644" t="inlineStr">
        <is>
          <t>16:00-24:00</t>
        </is>
      </c>
      <c r="H644" t="inlineStr">
        <is>
          <t>Ivory Tower 4~5</t>
        </is>
      </c>
    </row>
    <row r="645">
      <c r="A645" t="inlineStr">
        <is>
          <t>2026-09-27</t>
        </is>
      </c>
      <c r="B645" t="inlineStr">
        <is>
          <t>Sun</t>
        </is>
      </c>
      <c r="C645" t="inlineStr">
        <is>
          <t>Farming</t>
        </is>
      </c>
      <c r="D645" t="inlineStr">
        <is>
          <t>Ronaldo</t>
        </is>
      </c>
      <c r="E645" t="n">
        <v>3</v>
      </c>
      <c r="F645" t="inlineStr">
        <is>
          <t>24:00-08:00</t>
        </is>
      </c>
      <c r="H645" t="inlineStr">
        <is>
          <t>Ivory flr4&amp;5</t>
        </is>
      </c>
    </row>
    <row r="646">
      <c r="A646" t="inlineStr">
        <is>
          <t>2026-09-27</t>
        </is>
      </c>
      <c r="B646" t="inlineStr">
        <is>
          <t>Sun</t>
        </is>
      </c>
      <c r="C646" t="inlineStr">
        <is>
          <t>Farming</t>
        </is>
      </c>
      <c r="D646" t="inlineStr">
        <is>
          <t>Sarim</t>
        </is>
      </c>
      <c r="E646" t="n">
        <v>1</v>
      </c>
      <c r="F646" t="inlineStr">
        <is>
          <t>08:00-12:00</t>
        </is>
      </c>
    </row>
    <row r="647">
      <c r="A647" t="inlineStr">
        <is>
          <t>2026-09-27</t>
        </is>
      </c>
      <c r="B647" t="inlineStr">
        <is>
          <t>Sun</t>
        </is>
      </c>
      <c r="C647" t="inlineStr">
        <is>
          <t>Farming</t>
        </is>
      </c>
      <c r="D647" t="inlineStr">
        <is>
          <t>Sarim</t>
        </is>
      </c>
      <c r="E647" t="n">
        <v>2</v>
      </c>
      <c r="F647" t="inlineStr">
        <is>
          <t>16:00-24:00</t>
        </is>
      </c>
      <c r="H647" t="inlineStr">
        <is>
          <t>ELMORE &amp; DD</t>
        </is>
      </c>
    </row>
    <row r="648">
      <c r="A648" t="inlineStr">
        <is>
          <t>2026-09-27</t>
        </is>
      </c>
      <c r="B648" t="inlineStr">
        <is>
          <t>Sun</t>
        </is>
      </c>
      <c r="C648" t="inlineStr">
        <is>
          <t>Farming</t>
        </is>
      </c>
      <c r="D648" t="inlineStr">
        <is>
          <t>Sarim</t>
        </is>
      </c>
      <c r="E648" t="n">
        <v>3</v>
      </c>
      <c r="F648" t="inlineStr">
        <is>
          <t>24:00-08:00</t>
        </is>
      </c>
      <c r="H648" t="inlineStr">
        <is>
          <t>Elmore</t>
        </is>
      </c>
    </row>
    <row r="649">
      <c r="A649" t="inlineStr">
        <is>
          <t>2026-09-27</t>
        </is>
      </c>
      <c r="B649" t="inlineStr">
        <is>
          <t>Sun</t>
        </is>
      </c>
      <c r="C649" t="inlineStr">
        <is>
          <t>Farming</t>
        </is>
      </c>
      <c r="D649" t="inlineStr">
        <is>
          <t>Sinsang</t>
        </is>
      </c>
      <c r="E649" t="n">
        <v>1</v>
      </c>
      <c r="F649" t="inlineStr">
        <is>
          <t>OFF</t>
        </is>
      </c>
    </row>
    <row r="650">
      <c r="A650" t="inlineStr">
        <is>
          <t>2026-09-27</t>
        </is>
      </c>
      <c r="B650" t="inlineStr">
        <is>
          <t>Sun</t>
        </is>
      </c>
      <c r="C650" t="inlineStr">
        <is>
          <t>Farming</t>
        </is>
      </c>
      <c r="D650" t="inlineStr">
        <is>
          <t>Sudden</t>
        </is>
      </c>
      <c r="E650" t="n">
        <v>1</v>
      </c>
      <c r="F650" t="inlineStr">
        <is>
          <t>08:00-16:00</t>
        </is>
      </c>
    </row>
    <row r="651">
      <c r="A651" t="inlineStr">
        <is>
          <t>2026-09-27</t>
        </is>
      </c>
      <c r="B651" t="inlineStr">
        <is>
          <t>Sun</t>
        </is>
      </c>
      <c r="C651" t="inlineStr">
        <is>
          <t>Farming</t>
        </is>
      </c>
      <c r="D651" t="inlineStr">
        <is>
          <t>Sudden</t>
        </is>
      </c>
      <c r="E651" t="n">
        <v>2</v>
      </c>
      <c r="F651" t="inlineStr">
        <is>
          <t>16:00-24:00</t>
        </is>
      </c>
      <c r="H651" t="inlineStr">
        <is>
          <t>ELMORE &amp; DD</t>
        </is>
      </c>
    </row>
    <row r="652">
      <c r="A652" t="inlineStr">
        <is>
          <t>2026-09-27</t>
        </is>
      </c>
      <c r="B652" t="inlineStr">
        <is>
          <t>Sun</t>
        </is>
      </c>
      <c r="C652" t="inlineStr">
        <is>
          <t>Farming</t>
        </is>
      </c>
      <c r="D652" t="inlineStr">
        <is>
          <t>Sudden</t>
        </is>
      </c>
      <c r="E652" t="n">
        <v>3</v>
      </c>
      <c r="F652" t="inlineStr">
        <is>
          <t>24:00-08:00</t>
        </is>
      </c>
      <c r="H652" t="inlineStr">
        <is>
          <t>Elmore</t>
        </is>
      </c>
    </row>
    <row r="653">
      <c r="A653" t="inlineStr">
        <is>
          <t>2026-09-27</t>
        </is>
      </c>
      <c r="B653" t="inlineStr">
        <is>
          <t>Sun</t>
        </is>
      </c>
      <c r="C653" t="inlineStr">
        <is>
          <t>Farming</t>
        </is>
      </c>
      <c r="D653" t="inlineStr">
        <is>
          <t>Sunsang</t>
        </is>
      </c>
      <c r="E653" t="n">
        <v>1</v>
      </c>
      <c r="F653" t="inlineStr">
        <is>
          <t>OFF</t>
        </is>
      </c>
    </row>
    <row r="654">
      <c r="A654" t="inlineStr">
        <is>
          <t>2026-09-27</t>
        </is>
      </c>
      <c r="B654" t="inlineStr">
        <is>
          <t>Sun</t>
        </is>
      </c>
      <c r="C654" t="inlineStr">
        <is>
          <t>Farming</t>
        </is>
      </c>
      <c r="D654" t="inlineStr">
        <is>
          <t>Sunsang</t>
        </is>
      </c>
      <c r="E654" t="n">
        <v>2</v>
      </c>
      <c r="F654" t="inlineStr">
        <is>
          <t>OFF</t>
        </is>
      </c>
    </row>
    <row r="655">
      <c r="A655" t="inlineStr">
        <is>
          <t>2026-09-27</t>
        </is>
      </c>
      <c r="B655" t="inlineStr">
        <is>
          <t>Sun</t>
        </is>
      </c>
      <c r="C655" t="inlineStr">
        <is>
          <t>Farming</t>
        </is>
      </c>
      <c r="D655" t="inlineStr">
        <is>
          <t>Taejo</t>
        </is>
      </c>
      <c r="E655" t="n">
        <v>1</v>
      </c>
      <c r="F655" t="inlineStr">
        <is>
          <t>08:00-16:00</t>
        </is>
      </c>
    </row>
    <row r="656">
      <c r="A656" t="inlineStr">
        <is>
          <t>2026-09-27</t>
        </is>
      </c>
      <c r="B656" t="inlineStr">
        <is>
          <t>Sun</t>
        </is>
      </c>
      <c r="C656" t="inlineStr">
        <is>
          <t>Farming</t>
        </is>
      </c>
      <c r="D656" t="inlineStr">
        <is>
          <t>Taejo</t>
        </is>
      </c>
      <c r="E656" t="n">
        <v>2</v>
      </c>
      <c r="F656" t="inlineStr">
        <is>
          <t>16:00-24:00</t>
        </is>
      </c>
      <c r="H656" t="inlineStr">
        <is>
          <t>ELMORE &amp; DD</t>
        </is>
      </c>
    </row>
    <row r="657">
      <c r="A657" t="inlineStr">
        <is>
          <t>2026-09-27</t>
        </is>
      </c>
      <c r="B657" t="inlineStr">
        <is>
          <t>Sun</t>
        </is>
      </c>
      <c r="C657" t="inlineStr">
        <is>
          <t>Farming</t>
        </is>
      </c>
      <c r="D657" t="inlineStr">
        <is>
          <t>Taejo</t>
        </is>
      </c>
      <c r="E657" t="n">
        <v>3</v>
      </c>
      <c r="F657" t="inlineStr">
        <is>
          <t>24:00-08:00</t>
        </is>
      </c>
      <c r="H657" t="inlineStr">
        <is>
          <t>Elmore</t>
        </is>
      </c>
    </row>
    <row r="658">
      <c r="A658" t="inlineStr">
        <is>
          <t>2026-09-28</t>
        </is>
      </c>
      <c r="B658" t="inlineStr">
        <is>
          <t>Mon</t>
        </is>
      </c>
      <c r="C658" t="inlineStr">
        <is>
          <t>Client</t>
        </is>
      </c>
      <c r="D658" t="inlineStr">
        <is>
          <t>ADA</t>
        </is>
      </c>
      <c r="E658" t="n">
        <v>1</v>
      </c>
      <c r="F658" t="inlineStr">
        <is>
          <t>09:00-17:00</t>
        </is>
      </c>
    </row>
    <row r="659">
      <c r="A659" t="inlineStr">
        <is>
          <t>2026-09-28</t>
        </is>
      </c>
      <c r="B659" t="inlineStr">
        <is>
          <t>Mon</t>
        </is>
      </c>
      <c r="C659" t="inlineStr">
        <is>
          <t>Client</t>
        </is>
      </c>
      <c r="D659" t="inlineStr">
        <is>
          <t>ADA</t>
        </is>
      </c>
      <c r="E659" t="n">
        <v>2</v>
      </c>
      <c r="F659" t="inlineStr">
        <is>
          <t>OFF</t>
        </is>
      </c>
    </row>
    <row r="660">
      <c r="A660" t="inlineStr">
        <is>
          <t>2026-09-28</t>
        </is>
      </c>
      <c r="B660" t="inlineStr">
        <is>
          <t>Mon</t>
        </is>
      </c>
      <c r="C660" t="inlineStr">
        <is>
          <t>Client</t>
        </is>
      </c>
      <c r="D660" t="inlineStr">
        <is>
          <t>Alex</t>
        </is>
      </c>
      <c r="E660" t="n">
        <v>1</v>
      </c>
      <c r="F660" t="inlineStr">
        <is>
          <t>08:00-13:00</t>
        </is>
      </c>
      <c r="H660" t="inlineStr">
        <is>
          <t>Ivory Tower 4~5</t>
        </is>
      </c>
    </row>
    <row r="661">
      <c r="A661" t="inlineStr">
        <is>
          <t>2026-09-28</t>
        </is>
      </c>
      <c r="B661" t="inlineStr">
        <is>
          <t>Mon</t>
        </is>
      </c>
      <c r="C661" t="inlineStr">
        <is>
          <t>Client</t>
        </is>
      </c>
      <c r="D661" t="inlineStr">
        <is>
          <t>Alex</t>
        </is>
      </c>
      <c r="E661" t="n">
        <v>2</v>
      </c>
      <c r="F661" t="inlineStr">
        <is>
          <t>16:00-24:00</t>
        </is>
      </c>
      <c r="H661" t="inlineStr">
        <is>
          <t>Ivory Tower 6~7</t>
        </is>
      </c>
    </row>
    <row r="662">
      <c r="A662" t="inlineStr">
        <is>
          <t>2026-09-28</t>
        </is>
      </c>
      <c r="B662" t="inlineStr">
        <is>
          <t>Mon</t>
        </is>
      </c>
      <c r="C662" t="inlineStr">
        <is>
          <t>Client</t>
        </is>
      </c>
      <c r="D662" t="inlineStr">
        <is>
          <t>Alex</t>
        </is>
      </c>
      <c r="E662" t="n">
        <v>3</v>
      </c>
      <c r="F662" t="inlineStr">
        <is>
          <t>03:00-08:00</t>
        </is>
      </c>
      <c r="H662" t="inlineStr">
        <is>
          <t>Ivory Tower 4~5</t>
        </is>
      </c>
    </row>
    <row r="663">
      <c r="A663" t="inlineStr">
        <is>
          <t>2026-09-28</t>
        </is>
      </c>
      <c r="B663" t="inlineStr">
        <is>
          <t>Mon</t>
        </is>
      </c>
      <c r="C663" t="inlineStr">
        <is>
          <t>Client</t>
        </is>
      </c>
      <c r="D663" t="inlineStr">
        <is>
          <t>Beongaebul</t>
        </is>
      </c>
      <c r="E663" t="n">
        <v>1</v>
      </c>
      <c r="F663" t="inlineStr">
        <is>
          <t>OFF</t>
        </is>
      </c>
    </row>
    <row r="664">
      <c r="A664" t="inlineStr">
        <is>
          <t>2026-09-28</t>
        </is>
      </c>
      <c r="B664" t="inlineStr">
        <is>
          <t>Mon</t>
        </is>
      </c>
      <c r="C664" t="inlineStr">
        <is>
          <t>Client</t>
        </is>
      </c>
      <c r="D664" t="inlineStr">
        <is>
          <t>Captain</t>
        </is>
      </c>
      <c r="E664" t="n">
        <v>1</v>
      </c>
      <c r="F664" t="inlineStr">
        <is>
          <t>OFF</t>
        </is>
      </c>
    </row>
    <row r="665">
      <c r="A665" t="inlineStr">
        <is>
          <t>2026-09-28</t>
        </is>
      </c>
      <c r="B665" t="inlineStr">
        <is>
          <t>Mon</t>
        </is>
      </c>
      <c r="C665" t="inlineStr">
        <is>
          <t>Client</t>
        </is>
      </c>
      <c r="D665" t="inlineStr">
        <is>
          <t>Captain</t>
        </is>
      </c>
      <c r="E665" t="n">
        <v>2</v>
      </c>
      <c r="F665" t="inlineStr">
        <is>
          <t>OFF</t>
        </is>
      </c>
    </row>
    <row r="666">
      <c r="A666" t="inlineStr">
        <is>
          <t>2026-09-28</t>
        </is>
      </c>
      <c r="B666" t="inlineStr">
        <is>
          <t>Mon</t>
        </is>
      </c>
      <c r="C666" t="inlineStr">
        <is>
          <t>Client</t>
        </is>
      </c>
      <c r="D666" t="inlineStr">
        <is>
          <t>Dalo</t>
        </is>
      </c>
      <c r="E666" t="n">
        <v>1</v>
      </c>
      <c r="F666" t="inlineStr">
        <is>
          <t>OFF</t>
        </is>
      </c>
    </row>
    <row r="667">
      <c r="A667" t="inlineStr">
        <is>
          <t>2026-09-28</t>
        </is>
      </c>
      <c r="B667" t="inlineStr">
        <is>
          <t>Mon</t>
        </is>
      </c>
      <c r="C667" t="inlineStr">
        <is>
          <t>Client</t>
        </is>
      </c>
      <c r="D667" t="inlineStr">
        <is>
          <t>Dalo</t>
        </is>
      </c>
      <c r="E667" t="n">
        <v>2</v>
      </c>
      <c r="F667" t="inlineStr">
        <is>
          <t>OFF</t>
        </is>
      </c>
    </row>
    <row r="668">
      <c r="A668" t="inlineStr">
        <is>
          <t>2026-09-28</t>
        </is>
      </c>
      <c r="B668" t="inlineStr">
        <is>
          <t>Mon</t>
        </is>
      </c>
      <c r="C668" t="inlineStr">
        <is>
          <t>Client</t>
        </is>
      </c>
      <c r="D668" t="inlineStr">
        <is>
          <t>Dalo</t>
        </is>
      </c>
      <c r="E668" t="n">
        <v>3</v>
      </c>
      <c r="F668" t="inlineStr">
        <is>
          <t>OFF</t>
        </is>
      </c>
    </row>
    <row r="669">
      <c r="A669" t="inlineStr">
        <is>
          <t>2026-09-28</t>
        </is>
      </c>
      <c r="B669" t="inlineStr">
        <is>
          <t>Mon</t>
        </is>
      </c>
      <c r="C669" t="inlineStr">
        <is>
          <t>Client</t>
        </is>
      </c>
      <c r="D669" t="inlineStr">
        <is>
          <t>Dodam</t>
        </is>
      </c>
      <c r="E669" t="n">
        <v>1</v>
      </c>
      <c r="F669" t="inlineStr">
        <is>
          <t>23:00-11:00</t>
        </is>
      </c>
      <c r="H669" t="inlineStr">
        <is>
          <t>Island of Dreams</t>
        </is>
      </c>
    </row>
    <row r="670">
      <c r="A670" t="inlineStr">
        <is>
          <t>2026-09-28</t>
        </is>
      </c>
      <c r="B670" t="inlineStr">
        <is>
          <t>Mon</t>
        </is>
      </c>
      <c r="C670" t="inlineStr">
        <is>
          <t>Client</t>
        </is>
      </c>
      <c r="D670" t="inlineStr">
        <is>
          <t>Dodam</t>
        </is>
      </c>
      <c r="E670" t="n">
        <v>2</v>
      </c>
      <c r="F670" t="inlineStr">
        <is>
          <t>07:00-19:00</t>
        </is>
      </c>
    </row>
    <row r="671">
      <c r="A671" t="inlineStr">
        <is>
          <t>2026-09-28</t>
        </is>
      </c>
      <c r="B671" t="inlineStr">
        <is>
          <t>Mon</t>
        </is>
      </c>
      <c r="C671" t="inlineStr">
        <is>
          <t>Client</t>
        </is>
      </c>
      <c r="D671" t="inlineStr">
        <is>
          <t>Dol</t>
        </is>
      </c>
      <c r="E671" t="n">
        <v>1</v>
      </c>
      <c r="F671" t="inlineStr">
        <is>
          <t>OFF</t>
        </is>
      </c>
      <c r="H671" t="inlineStr">
        <is>
          <t>Dragon Valley</t>
        </is>
      </c>
    </row>
    <row r="672">
      <c r="A672" t="inlineStr">
        <is>
          <t>2026-09-28</t>
        </is>
      </c>
      <c r="B672" t="inlineStr">
        <is>
          <t>Mon</t>
        </is>
      </c>
      <c r="C672" t="inlineStr">
        <is>
          <t>Client</t>
        </is>
      </c>
      <c r="D672" t="inlineStr">
        <is>
          <t>Dol</t>
        </is>
      </c>
      <c r="E672" t="n">
        <v>2</v>
      </c>
      <c r="F672" t="inlineStr">
        <is>
          <t>OFF</t>
        </is>
      </c>
    </row>
    <row r="673">
      <c r="A673" t="inlineStr">
        <is>
          <t>2026-09-28</t>
        </is>
      </c>
      <c r="B673" t="inlineStr">
        <is>
          <t>Mon</t>
        </is>
      </c>
      <c r="C673" t="inlineStr">
        <is>
          <t>Client</t>
        </is>
      </c>
      <c r="D673" t="inlineStr">
        <is>
          <t>Doma</t>
        </is>
      </c>
      <c r="E673" t="n">
        <v>1</v>
      </c>
      <c r="F673" t="inlineStr">
        <is>
          <t>OFF</t>
        </is>
      </c>
    </row>
    <row r="674">
      <c r="A674" t="inlineStr">
        <is>
          <t>2026-09-28</t>
        </is>
      </c>
      <c r="B674" t="inlineStr">
        <is>
          <t>Mon</t>
        </is>
      </c>
      <c r="C674" t="inlineStr">
        <is>
          <t>Client</t>
        </is>
      </c>
      <c r="D674" t="inlineStr">
        <is>
          <t>Doma</t>
        </is>
      </c>
      <c r="E674" t="n">
        <v>2</v>
      </c>
      <c r="F674" t="inlineStr">
        <is>
          <t>21:00-09:00</t>
        </is>
      </c>
      <c r="H674" t="inlineStr">
        <is>
          <t>Ivory Tower</t>
        </is>
      </c>
    </row>
    <row r="675">
      <c r="A675" t="inlineStr">
        <is>
          <t>2026-09-28</t>
        </is>
      </c>
      <c r="B675" t="inlineStr">
        <is>
          <t>Mon</t>
        </is>
      </c>
      <c r="C675" t="inlineStr">
        <is>
          <t>Client</t>
        </is>
      </c>
      <c r="D675" t="inlineStr">
        <is>
          <t>Duga</t>
        </is>
      </c>
      <c r="E675" t="n">
        <v>1</v>
      </c>
      <c r="F675" t="inlineStr">
        <is>
          <t>07:00-15:00</t>
        </is>
      </c>
    </row>
    <row r="676">
      <c r="A676" t="inlineStr">
        <is>
          <t>2026-09-28</t>
        </is>
      </c>
      <c r="B676" t="inlineStr">
        <is>
          <t>Mon</t>
        </is>
      </c>
      <c r="C676" t="inlineStr">
        <is>
          <t>Client</t>
        </is>
      </c>
      <c r="D676" t="inlineStr">
        <is>
          <t>Elf</t>
        </is>
      </c>
      <c r="E676" t="n">
        <v>1</v>
      </c>
      <c r="F676" t="inlineStr">
        <is>
          <t>OFF</t>
        </is>
      </c>
    </row>
    <row r="677">
      <c r="A677" t="inlineStr">
        <is>
          <t>2026-09-28</t>
        </is>
      </c>
      <c r="B677" t="inlineStr">
        <is>
          <t>Mon</t>
        </is>
      </c>
      <c r="C677" t="inlineStr">
        <is>
          <t>Client</t>
        </is>
      </c>
      <c r="D677" t="inlineStr">
        <is>
          <t>Geonbae</t>
        </is>
      </c>
      <c r="E677" t="n">
        <v>1</v>
      </c>
      <c r="F677" t="inlineStr">
        <is>
          <t>OFF</t>
        </is>
      </c>
    </row>
    <row r="678">
      <c r="A678" t="inlineStr">
        <is>
          <t>2026-09-28</t>
        </is>
      </c>
      <c r="B678" t="inlineStr">
        <is>
          <t>Mon</t>
        </is>
      </c>
      <c r="C678" t="inlineStr">
        <is>
          <t>Client</t>
        </is>
      </c>
      <c r="D678" t="inlineStr">
        <is>
          <t>Geonbae</t>
        </is>
      </c>
      <c r="E678" t="n">
        <v>2</v>
      </c>
      <c r="F678" t="inlineStr">
        <is>
          <t>23:00-07:00</t>
        </is>
      </c>
      <c r="H678" t="inlineStr">
        <is>
          <t>Ivory Tower</t>
        </is>
      </c>
    </row>
    <row r="679">
      <c r="A679" t="inlineStr">
        <is>
          <t>2026-09-28</t>
        </is>
      </c>
      <c r="B679" t="inlineStr">
        <is>
          <t>Mon</t>
        </is>
      </c>
      <c r="C679" t="inlineStr">
        <is>
          <t>Client</t>
        </is>
      </c>
      <c r="D679" t="inlineStr">
        <is>
          <t>Goop</t>
        </is>
      </c>
      <c r="E679" t="n">
        <v>1</v>
      </c>
      <c r="F679" t="inlineStr">
        <is>
          <t>OFF</t>
        </is>
      </c>
    </row>
    <row r="680">
      <c r="A680" t="inlineStr">
        <is>
          <t>2026-09-28</t>
        </is>
      </c>
      <c r="B680" t="inlineStr">
        <is>
          <t>Mon</t>
        </is>
      </c>
      <c r="C680" t="inlineStr">
        <is>
          <t>Client</t>
        </is>
      </c>
      <c r="D680" t="inlineStr">
        <is>
          <t>Heon</t>
        </is>
      </c>
      <c r="E680" t="n">
        <v>1</v>
      </c>
      <c r="F680" t="inlineStr">
        <is>
          <t>OFF</t>
        </is>
      </c>
      <c r="H680" t="inlineStr">
        <is>
          <t>Abandoned Land (Abyss) 6
ivory tower 2</t>
        </is>
      </c>
    </row>
    <row r="681">
      <c r="A681" t="inlineStr">
        <is>
          <t>2026-09-28</t>
        </is>
      </c>
      <c r="B681" t="inlineStr">
        <is>
          <t>Mon</t>
        </is>
      </c>
      <c r="C681" t="inlineStr">
        <is>
          <t>Client</t>
        </is>
      </c>
      <c r="D681" t="inlineStr">
        <is>
          <t>Jjuni</t>
        </is>
      </c>
      <c r="E681" t="n">
        <v>1</v>
      </c>
      <c r="F681" t="inlineStr">
        <is>
          <t>14:00-21:00</t>
        </is>
      </c>
    </row>
    <row r="682">
      <c r="A682" t="inlineStr">
        <is>
          <t>2026-09-28</t>
        </is>
      </c>
      <c r="B682" t="inlineStr">
        <is>
          <t>Mon</t>
        </is>
      </c>
      <c r="C682" t="inlineStr">
        <is>
          <t>Client</t>
        </is>
      </c>
      <c r="D682" t="inlineStr">
        <is>
          <t>Jjuni</t>
        </is>
      </c>
      <c r="E682" t="n">
        <v>2</v>
      </c>
      <c r="F682" t="inlineStr">
        <is>
          <t>OFF</t>
        </is>
      </c>
    </row>
    <row r="683">
      <c r="A683" t="inlineStr">
        <is>
          <t>2026-09-28</t>
        </is>
      </c>
      <c r="B683" t="inlineStr">
        <is>
          <t>Mon</t>
        </is>
      </c>
      <c r="C683" t="inlineStr">
        <is>
          <t>Client</t>
        </is>
      </c>
      <c r="D683" t="inlineStr">
        <is>
          <t>Jjuni</t>
        </is>
      </c>
      <c r="E683" t="n">
        <v>3</v>
      </c>
      <c r="F683" t="inlineStr">
        <is>
          <t>OFF</t>
        </is>
      </c>
      <c r="H683" t="inlineStr">
        <is>
          <t>Ivory Tower</t>
        </is>
      </c>
    </row>
    <row r="684">
      <c r="A684" t="inlineStr">
        <is>
          <t>2026-09-28</t>
        </is>
      </c>
      <c r="B684" t="inlineStr">
        <is>
          <t>Mon</t>
        </is>
      </c>
      <c r="C684" t="inlineStr">
        <is>
          <t>Client</t>
        </is>
      </c>
      <c r="D684" t="inlineStr">
        <is>
          <t>Jo</t>
        </is>
      </c>
      <c r="E684" t="n">
        <v>1</v>
      </c>
      <c r="F684" t="inlineStr">
        <is>
          <t>OFF</t>
        </is>
      </c>
    </row>
    <row r="685">
      <c r="A685" t="inlineStr">
        <is>
          <t>2026-09-28</t>
        </is>
      </c>
      <c r="B685" t="inlineStr">
        <is>
          <t>Mon</t>
        </is>
      </c>
      <c r="C685" t="inlineStr">
        <is>
          <t>Client</t>
        </is>
      </c>
      <c r="D685" t="inlineStr">
        <is>
          <t>Lammy Queen</t>
        </is>
      </c>
      <c r="E685" t="n">
        <v>1</v>
      </c>
      <c r="F685" t="inlineStr">
        <is>
          <t>OFF</t>
        </is>
      </c>
    </row>
    <row r="686">
      <c r="A686" t="inlineStr">
        <is>
          <t>2026-09-28</t>
        </is>
      </c>
      <c r="B686" t="inlineStr">
        <is>
          <t>Mon</t>
        </is>
      </c>
      <c r="C686" t="inlineStr">
        <is>
          <t>Client</t>
        </is>
      </c>
      <c r="D686" t="inlineStr">
        <is>
          <t>Lammy Queen</t>
        </is>
      </c>
      <c r="E686" t="n">
        <v>2</v>
      </c>
      <c r="F686" t="inlineStr">
        <is>
          <t>01:00-09:00</t>
        </is>
      </c>
      <c r="H686" t="inlineStr">
        <is>
          <t>Abandon Land</t>
        </is>
      </c>
    </row>
    <row r="687">
      <c r="A687" t="inlineStr">
        <is>
          <t>2026-09-28</t>
        </is>
      </c>
      <c r="B687" t="inlineStr">
        <is>
          <t>Mon</t>
        </is>
      </c>
      <c r="C687" t="inlineStr">
        <is>
          <t>Client</t>
        </is>
      </c>
      <c r="D687" t="inlineStr">
        <is>
          <t>Lolly</t>
        </is>
      </c>
      <c r="E687" t="n">
        <v>1</v>
      </c>
      <c r="F687" t="inlineStr">
        <is>
          <t>07:00-15:00</t>
        </is>
      </c>
      <c r="H687" t="inlineStr">
        <is>
          <t>abandoned land 3
a land of corruption5</t>
        </is>
      </c>
    </row>
    <row r="688">
      <c r="A688" t="inlineStr">
        <is>
          <t>2026-09-28</t>
        </is>
      </c>
      <c r="B688" t="inlineStr">
        <is>
          <t>Mon</t>
        </is>
      </c>
      <c r="C688" t="inlineStr">
        <is>
          <t>Client</t>
        </is>
      </c>
      <c r="D688" t="inlineStr">
        <is>
          <t>Mukkbo</t>
        </is>
      </c>
      <c r="E688" t="n">
        <v>1</v>
      </c>
      <c r="F688" t="inlineStr">
        <is>
          <t>OFF</t>
        </is>
      </c>
    </row>
    <row r="689">
      <c r="A689" t="inlineStr">
        <is>
          <t>2026-09-28</t>
        </is>
      </c>
      <c r="B689" t="inlineStr">
        <is>
          <t>Mon</t>
        </is>
      </c>
      <c r="C689" t="inlineStr">
        <is>
          <t>Client</t>
        </is>
      </c>
      <c r="D689" t="inlineStr">
        <is>
          <t>Mukkbo</t>
        </is>
      </c>
      <c r="E689" t="n">
        <v>2</v>
      </c>
      <c r="F689" t="inlineStr">
        <is>
          <t>OFF</t>
        </is>
      </c>
    </row>
    <row r="690">
      <c r="A690" t="inlineStr">
        <is>
          <t>2026-09-28</t>
        </is>
      </c>
      <c r="B690" t="inlineStr">
        <is>
          <t>Mon</t>
        </is>
      </c>
      <c r="C690" t="inlineStr">
        <is>
          <t>Client</t>
        </is>
      </c>
      <c r="D690" t="inlineStr">
        <is>
          <t>Munjin</t>
        </is>
      </c>
      <c r="E690" t="n">
        <v>1</v>
      </c>
      <c r="F690" t="inlineStr">
        <is>
          <t>OFF</t>
        </is>
      </c>
    </row>
    <row r="691">
      <c r="A691" t="inlineStr">
        <is>
          <t>2026-09-28</t>
        </is>
      </c>
      <c r="B691" t="inlineStr">
        <is>
          <t>Mon</t>
        </is>
      </c>
      <c r="C691" t="inlineStr">
        <is>
          <t>Client</t>
        </is>
      </c>
      <c r="D691" t="inlineStr">
        <is>
          <t>Neburegi</t>
        </is>
      </c>
      <c r="E691" t="n">
        <v>1</v>
      </c>
      <c r="F691" t="inlineStr">
        <is>
          <t>OFF</t>
        </is>
      </c>
    </row>
    <row r="692">
      <c r="A692" t="inlineStr">
        <is>
          <t>2026-09-28</t>
        </is>
      </c>
      <c r="B692" t="inlineStr">
        <is>
          <t>Mon</t>
        </is>
      </c>
      <c r="C692" t="inlineStr">
        <is>
          <t>Client</t>
        </is>
      </c>
      <c r="D692" t="inlineStr">
        <is>
          <t>Olleh</t>
        </is>
      </c>
      <c r="E692" t="n">
        <v>1</v>
      </c>
      <c r="F692" t="inlineStr">
        <is>
          <t>OFF</t>
        </is>
      </c>
    </row>
    <row r="693">
      <c r="A693" t="inlineStr">
        <is>
          <t>2026-09-28</t>
        </is>
      </c>
      <c r="B693" t="inlineStr">
        <is>
          <t>Mon</t>
        </is>
      </c>
      <c r="C693" t="inlineStr">
        <is>
          <t>Client</t>
        </is>
      </c>
      <c r="D693" t="inlineStr">
        <is>
          <t>Olleh</t>
        </is>
      </c>
      <c r="E693" t="n">
        <v>2</v>
      </c>
      <c r="F693" t="inlineStr">
        <is>
          <t>23:00-01:00</t>
        </is>
      </c>
      <c r="H693" t="inlineStr">
        <is>
          <t>Ivory Tower</t>
        </is>
      </c>
    </row>
    <row r="694">
      <c r="A694" t="inlineStr">
        <is>
          <t>2026-09-28</t>
        </is>
      </c>
      <c r="B694" t="inlineStr">
        <is>
          <t>Mon</t>
        </is>
      </c>
      <c r="C694" t="inlineStr">
        <is>
          <t>Client</t>
        </is>
      </c>
      <c r="D694" t="inlineStr">
        <is>
          <t>Perez</t>
        </is>
      </c>
      <c r="E694" t="n">
        <v>1</v>
      </c>
      <c r="F694" t="inlineStr">
        <is>
          <t>08:00-16:00</t>
        </is>
      </c>
    </row>
    <row r="695">
      <c r="A695" t="inlineStr">
        <is>
          <t>2026-09-28</t>
        </is>
      </c>
      <c r="B695" t="inlineStr">
        <is>
          <t>Mon</t>
        </is>
      </c>
      <c r="C695" t="inlineStr">
        <is>
          <t>Client</t>
        </is>
      </c>
      <c r="D695" t="inlineStr">
        <is>
          <t>Perez</t>
        </is>
      </c>
      <c r="E695" t="n">
        <v>2</v>
      </c>
      <c r="F695" t="inlineStr">
        <is>
          <t>OFF</t>
        </is>
      </c>
      <c r="H695" t="inlineStr">
        <is>
          <t>LAND OF FALLEN / SPATOY</t>
        </is>
      </c>
    </row>
    <row r="696">
      <c r="A696" t="inlineStr">
        <is>
          <t>2026-09-28</t>
        </is>
      </c>
      <c r="B696" t="inlineStr">
        <is>
          <t>Mon</t>
        </is>
      </c>
      <c r="C696" t="inlineStr">
        <is>
          <t>Client</t>
        </is>
      </c>
      <c r="D696" t="inlineStr">
        <is>
          <t>Perez</t>
        </is>
      </c>
      <c r="E696" t="n">
        <v>3</v>
      </c>
      <c r="F696" t="inlineStr">
        <is>
          <t>21:00-05:00</t>
        </is>
      </c>
      <c r="H696" t="inlineStr">
        <is>
          <t>Abandon Land</t>
        </is>
      </c>
    </row>
    <row r="697">
      <c r="A697" t="inlineStr">
        <is>
          <t>2026-09-28</t>
        </is>
      </c>
      <c r="B697" t="inlineStr">
        <is>
          <t>Mon</t>
        </is>
      </c>
      <c r="C697" t="inlineStr">
        <is>
          <t>Client</t>
        </is>
      </c>
      <c r="D697" t="inlineStr">
        <is>
          <t>Power20</t>
        </is>
      </c>
      <c r="E697" t="n">
        <v>1</v>
      </c>
      <c r="F697" t="inlineStr">
        <is>
          <t>10:00-20:00</t>
        </is>
      </c>
    </row>
    <row r="698">
      <c r="A698" t="inlineStr">
        <is>
          <t>2026-09-28</t>
        </is>
      </c>
      <c r="B698" t="inlineStr">
        <is>
          <t>Mon</t>
        </is>
      </c>
      <c r="C698" t="inlineStr">
        <is>
          <t>Client</t>
        </is>
      </c>
      <c r="D698" t="inlineStr">
        <is>
          <t>Power20</t>
        </is>
      </c>
      <c r="E698" t="n">
        <v>2</v>
      </c>
      <c r="F698" t="inlineStr">
        <is>
          <t>OFF</t>
        </is>
      </c>
    </row>
    <row r="699">
      <c r="A699" t="inlineStr">
        <is>
          <t>2026-09-28</t>
        </is>
      </c>
      <c r="B699" t="inlineStr">
        <is>
          <t>Mon</t>
        </is>
      </c>
      <c r="C699" t="inlineStr">
        <is>
          <t>Client</t>
        </is>
      </c>
      <c r="D699" t="inlineStr">
        <is>
          <t>Power20</t>
        </is>
      </c>
      <c r="E699" t="n">
        <v>3</v>
      </c>
      <c r="F699" t="inlineStr">
        <is>
          <t>24:00-10:00</t>
        </is>
      </c>
      <c r="H699" t="inlineStr">
        <is>
          <t>Ivory Tower</t>
        </is>
      </c>
    </row>
    <row r="700">
      <c r="A700" t="inlineStr">
        <is>
          <t>2026-09-28</t>
        </is>
      </c>
      <c r="B700" t="inlineStr">
        <is>
          <t>Mon</t>
        </is>
      </c>
      <c r="C700" t="inlineStr">
        <is>
          <t>Client</t>
        </is>
      </c>
      <c r="D700" t="inlineStr">
        <is>
          <t>Real Madrid</t>
        </is>
      </c>
      <c r="E700" t="n">
        <v>1</v>
      </c>
      <c r="F700" t="inlineStr">
        <is>
          <t>24:00-09:00</t>
        </is>
      </c>
      <c r="H700" t="inlineStr">
        <is>
          <t>Ivory Tower</t>
        </is>
      </c>
    </row>
    <row r="701">
      <c r="A701" t="inlineStr">
        <is>
          <t>2026-09-28</t>
        </is>
      </c>
      <c r="B701" t="inlineStr">
        <is>
          <t>Mon</t>
        </is>
      </c>
      <c r="C701" t="inlineStr">
        <is>
          <t>Client</t>
        </is>
      </c>
      <c r="D701" t="inlineStr">
        <is>
          <t>Real Madrid</t>
        </is>
      </c>
      <c r="E701" t="n">
        <v>2</v>
      </c>
      <c r="F701" t="inlineStr">
        <is>
          <t>16:00-24:00</t>
        </is>
      </c>
      <c r="H701" t="inlineStr">
        <is>
          <t>Ivory Tower</t>
        </is>
      </c>
    </row>
    <row r="702">
      <c r="A702" t="inlineStr">
        <is>
          <t>2026-09-28</t>
        </is>
      </c>
      <c r="B702" t="inlineStr">
        <is>
          <t>Mon</t>
        </is>
      </c>
      <c r="C702" t="inlineStr">
        <is>
          <t>Client</t>
        </is>
      </c>
      <c r="D702" t="inlineStr">
        <is>
          <t>Real Madrid</t>
        </is>
      </c>
      <c r="E702" t="n">
        <v>3</v>
      </c>
      <c r="F702" t="inlineStr">
        <is>
          <t>OFF</t>
        </is>
      </c>
    </row>
    <row r="703">
      <c r="A703" t="inlineStr">
        <is>
          <t>2026-09-28</t>
        </is>
      </c>
      <c r="B703" t="inlineStr">
        <is>
          <t>Mon</t>
        </is>
      </c>
      <c r="C703" t="inlineStr">
        <is>
          <t>Client</t>
        </is>
      </c>
      <c r="D703" t="inlineStr">
        <is>
          <t>Return</t>
        </is>
      </c>
      <c r="E703" t="n">
        <v>1</v>
      </c>
      <c r="F703" t="inlineStr">
        <is>
          <t>OFF</t>
        </is>
      </c>
      <c r="H703" t="inlineStr">
        <is>
          <t>Ivory Tower</t>
        </is>
      </c>
    </row>
    <row r="704">
      <c r="A704" t="inlineStr">
        <is>
          <t>2026-09-28</t>
        </is>
      </c>
      <c r="B704" t="inlineStr">
        <is>
          <t>Mon</t>
        </is>
      </c>
      <c r="C704" t="inlineStr">
        <is>
          <t>Client</t>
        </is>
      </c>
      <c r="D704" t="inlineStr">
        <is>
          <t>Road</t>
        </is>
      </c>
      <c r="E704" t="n">
        <v>1</v>
      </c>
      <c r="F704" t="inlineStr">
        <is>
          <t>OFF</t>
        </is>
      </c>
    </row>
    <row r="705">
      <c r="A705" t="inlineStr">
        <is>
          <t>2026-09-28</t>
        </is>
      </c>
      <c r="B705" t="inlineStr">
        <is>
          <t>Mon</t>
        </is>
      </c>
      <c r="C705" t="inlineStr">
        <is>
          <t>Client</t>
        </is>
      </c>
      <c r="D705" t="inlineStr">
        <is>
          <t>SSEN</t>
        </is>
      </c>
      <c r="E705" t="n">
        <v>1</v>
      </c>
      <c r="F705" t="inlineStr">
        <is>
          <t>07:00-19:00</t>
        </is>
      </c>
    </row>
    <row r="706">
      <c r="A706" t="inlineStr">
        <is>
          <t>2026-09-28</t>
        </is>
      </c>
      <c r="B706" t="inlineStr">
        <is>
          <t>Mon</t>
        </is>
      </c>
      <c r="C706" t="inlineStr">
        <is>
          <t>Client</t>
        </is>
      </c>
      <c r="D706" t="inlineStr">
        <is>
          <t>Tiger</t>
        </is>
      </c>
      <c r="E706" t="n">
        <v>1</v>
      </c>
      <c r="F706" t="inlineStr">
        <is>
          <t>OFF</t>
        </is>
      </c>
    </row>
    <row r="707">
      <c r="A707" t="inlineStr">
        <is>
          <t>2026-09-28</t>
        </is>
      </c>
      <c r="B707" t="inlineStr">
        <is>
          <t>Mon</t>
        </is>
      </c>
      <c r="C707" t="inlineStr">
        <is>
          <t>Client</t>
        </is>
      </c>
      <c r="D707" t="inlineStr">
        <is>
          <t>Tiger</t>
        </is>
      </c>
      <c r="E707" t="n">
        <v>2</v>
      </c>
      <c r="F707" t="inlineStr">
        <is>
          <t>OFF</t>
        </is>
      </c>
      <c r="H707" t="inlineStr">
        <is>
          <t>Island of Dreams</t>
        </is>
      </c>
    </row>
    <row r="708">
      <c r="A708" t="inlineStr">
        <is>
          <t>2026-09-28</t>
        </is>
      </c>
      <c r="B708" t="inlineStr">
        <is>
          <t>Mon</t>
        </is>
      </c>
      <c r="C708" t="inlineStr">
        <is>
          <t>Client</t>
        </is>
      </c>
      <c r="D708" t="inlineStr">
        <is>
          <t>Yeoseo</t>
        </is>
      </c>
      <c r="E708" t="n">
        <v>1</v>
      </c>
      <c r="F708" t="inlineStr">
        <is>
          <t>OFF</t>
        </is>
      </c>
      <c r="H708" t="inlineStr">
        <is>
          <t>abandoned land 3
a land of corruption5</t>
        </is>
      </c>
    </row>
    <row r="709">
      <c r="A709" t="inlineStr">
        <is>
          <t>2026-09-28</t>
        </is>
      </c>
      <c r="B709" t="inlineStr">
        <is>
          <t>Mon</t>
        </is>
      </c>
      <c r="C709" t="inlineStr">
        <is>
          <t>Client</t>
        </is>
      </c>
      <c r="D709" t="inlineStr">
        <is>
          <t>Zombie</t>
        </is>
      </c>
      <c r="E709" t="n">
        <v>1</v>
      </c>
      <c r="F709" t="inlineStr">
        <is>
          <t>OFF</t>
        </is>
      </c>
    </row>
    <row r="710">
      <c r="A710" t="inlineStr">
        <is>
          <t>2026-09-28</t>
        </is>
      </c>
      <c r="B710" t="inlineStr">
        <is>
          <t>Mon</t>
        </is>
      </c>
      <c r="C710" t="inlineStr">
        <is>
          <t>Client</t>
        </is>
      </c>
      <c r="D710" t="inlineStr">
        <is>
          <t>Zombie</t>
        </is>
      </c>
      <c r="E710" t="n">
        <v>2</v>
      </c>
      <c r="F710" t="inlineStr">
        <is>
          <t>OFF</t>
        </is>
      </c>
    </row>
    <row r="711">
      <c r="A711" t="inlineStr">
        <is>
          <t>2026-09-28</t>
        </is>
      </c>
      <c r="B711" t="inlineStr">
        <is>
          <t>Mon</t>
        </is>
      </c>
      <c r="C711" t="inlineStr">
        <is>
          <t>Client</t>
        </is>
      </c>
      <c r="D711" t="inlineStr">
        <is>
          <t>Zombie</t>
        </is>
      </c>
      <c r="E711" t="n">
        <v>3</v>
      </c>
      <c r="F711" t="inlineStr">
        <is>
          <t>OFF</t>
        </is>
      </c>
      <c r="H711" t="inlineStr">
        <is>
          <t>Ivory Tower</t>
        </is>
      </c>
    </row>
    <row r="712">
      <c r="A712" t="inlineStr">
        <is>
          <t>2026-09-28</t>
        </is>
      </c>
      <c r="B712" t="inlineStr">
        <is>
          <t>Mon</t>
        </is>
      </c>
      <c r="C712" t="inlineStr">
        <is>
          <t>Farming</t>
        </is>
      </c>
      <c r="D712" t="inlineStr">
        <is>
          <t>Kangaroo</t>
        </is>
      </c>
      <c r="E712" t="n">
        <v>1</v>
      </c>
      <c r="F712" t="inlineStr">
        <is>
          <t>08:00-16:00</t>
        </is>
      </c>
      <c r="H712" t="inlineStr">
        <is>
          <t>Corrupted Land</t>
        </is>
      </c>
    </row>
    <row r="713">
      <c r="A713" t="inlineStr">
        <is>
          <t>2026-09-28</t>
        </is>
      </c>
      <c r="B713" t="inlineStr">
        <is>
          <t>Mon</t>
        </is>
      </c>
      <c r="C713" t="inlineStr">
        <is>
          <t>Farming</t>
        </is>
      </c>
      <c r="D713" t="inlineStr">
        <is>
          <t>Kangaroo</t>
        </is>
      </c>
      <c r="E713" t="n">
        <v>2</v>
      </c>
      <c r="F713" t="inlineStr">
        <is>
          <t>16:00-22:00</t>
        </is>
      </c>
      <c r="H713" t="inlineStr">
        <is>
          <t>Corrupted Land</t>
        </is>
      </c>
    </row>
    <row r="714">
      <c r="A714" t="inlineStr">
        <is>
          <t>2026-09-28</t>
        </is>
      </c>
      <c r="B714" t="inlineStr">
        <is>
          <t>Mon</t>
        </is>
      </c>
      <c r="C714" t="inlineStr">
        <is>
          <t>Farming</t>
        </is>
      </c>
      <c r="D714" t="inlineStr">
        <is>
          <t>Kangaroo</t>
        </is>
      </c>
      <c r="E714" t="n">
        <v>3</v>
      </c>
      <c r="F714" t="inlineStr">
        <is>
          <t>24:00-08:00</t>
        </is>
      </c>
      <c r="H714" t="inlineStr">
        <is>
          <t>Corrupted Land</t>
        </is>
      </c>
    </row>
    <row r="715">
      <c r="A715" t="inlineStr">
        <is>
          <t>2026-09-28</t>
        </is>
      </c>
      <c r="B715" t="inlineStr">
        <is>
          <t>Mon</t>
        </is>
      </c>
      <c r="C715" t="inlineStr">
        <is>
          <t>Farming</t>
        </is>
      </c>
      <c r="D715" t="inlineStr">
        <is>
          <t>Kyoryu</t>
        </is>
      </c>
      <c r="E715" t="n">
        <v>1</v>
      </c>
      <c r="F715" t="inlineStr">
        <is>
          <t>08:00-16:00</t>
        </is>
      </c>
    </row>
    <row r="716">
      <c r="A716" t="inlineStr">
        <is>
          <t>2026-09-28</t>
        </is>
      </c>
      <c r="B716" t="inlineStr">
        <is>
          <t>Mon</t>
        </is>
      </c>
      <c r="C716" t="inlineStr">
        <is>
          <t>Farming</t>
        </is>
      </c>
      <c r="D716" t="inlineStr">
        <is>
          <t>Kyoryu</t>
        </is>
      </c>
      <c r="E716" t="n">
        <v>2</v>
      </c>
      <c r="F716" t="inlineStr">
        <is>
          <t>16:00-23:00</t>
        </is>
      </c>
      <c r="H716" t="inlineStr">
        <is>
          <t>ELMORE &amp; DD</t>
        </is>
      </c>
    </row>
    <row r="717">
      <c r="A717" t="inlineStr">
        <is>
          <t>2026-09-28</t>
        </is>
      </c>
      <c r="B717" t="inlineStr">
        <is>
          <t>Mon</t>
        </is>
      </c>
      <c r="C717" t="inlineStr">
        <is>
          <t>Farming</t>
        </is>
      </c>
      <c r="D717" t="inlineStr">
        <is>
          <t>Kyoryu</t>
        </is>
      </c>
      <c r="E717" t="n">
        <v>3</v>
      </c>
      <c r="F717" t="inlineStr">
        <is>
          <t>24:00-01:00</t>
        </is>
      </c>
      <c r="H717" t="inlineStr">
        <is>
          <t>Elmore</t>
        </is>
      </c>
    </row>
    <row r="718">
      <c r="A718" t="inlineStr">
        <is>
          <t>2026-09-28</t>
        </is>
      </c>
      <c r="B718" t="inlineStr">
        <is>
          <t>Mon</t>
        </is>
      </c>
      <c r="C718" t="inlineStr">
        <is>
          <t>Farming</t>
        </is>
      </c>
      <c r="D718" t="inlineStr">
        <is>
          <t>Marcelo</t>
        </is>
      </c>
      <c r="E718" t="n">
        <v>1</v>
      </c>
      <c r="F718" t="inlineStr">
        <is>
          <t>08:00-16:00</t>
        </is>
      </c>
    </row>
    <row r="719">
      <c r="A719" t="inlineStr">
        <is>
          <t>2026-09-28</t>
        </is>
      </c>
      <c r="B719" t="inlineStr">
        <is>
          <t>Mon</t>
        </is>
      </c>
      <c r="C719" t="inlineStr">
        <is>
          <t>Farming</t>
        </is>
      </c>
      <c r="D719" t="inlineStr">
        <is>
          <t>Marcelo</t>
        </is>
      </c>
      <c r="E719" t="n">
        <v>2</v>
      </c>
      <c r="F719" t="inlineStr">
        <is>
          <t>20:00-24:00</t>
        </is>
      </c>
      <c r="H719" t="inlineStr">
        <is>
          <t>ELMORE &amp; DD</t>
        </is>
      </c>
    </row>
    <row r="720">
      <c r="A720" t="inlineStr">
        <is>
          <t>2026-09-28</t>
        </is>
      </c>
      <c r="B720" t="inlineStr">
        <is>
          <t>Mon</t>
        </is>
      </c>
      <c r="C720" t="inlineStr">
        <is>
          <t>Farming</t>
        </is>
      </c>
      <c r="D720" t="inlineStr">
        <is>
          <t>Marcelo</t>
        </is>
      </c>
      <c r="E720" t="n">
        <v>3</v>
      </c>
      <c r="F720" t="inlineStr">
        <is>
          <t>24:00-03:00</t>
        </is>
      </c>
      <c r="H720" t="inlineStr">
        <is>
          <t>Elmore</t>
        </is>
      </c>
    </row>
    <row r="721">
      <c r="A721" t="inlineStr">
        <is>
          <t>2026-09-28</t>
        </is>
      </c>
      <c r="B721" t="inlineStr">
        <is>
          <t>Mon</t>
        </is>
      </c>
      <c r="C721" t="inlineStr">
        <is>
          <t>Farming</t>
        </is>
      </c>
      <c r="D721" t="inlineStr">
        <is>
          <t>OldBlood</t>
        </is>
      </c>
      <c r="E721" t="n">
        <v>1</v>
      </c>
      <c r="F721" t="inlineStr">
        <is>
          <t>OFF</t>
        </is>
      </c>
    </row>
    <row r="722">
      <c r="A722" t="inlineStr">
        <is>
          <t>2026-09-28</t>
        </is>
      </c>
      <c r="B722" t="inlineStr">
        <is>
          <t>Mon</t>
        </is>
      </c>
      <c r="C722" t="inlineStr">
        <is>
          <t>Farming</t>
        </is>
      </c>
      <c r="D722" t="inlineStr">
        <is>
          <t>Pele</t>
        </is>
      </c>
      <c r="E722" t="n">
        <v>1</v>
      </c>
      <c r="F722" t="inlineStr">
        <is>
          <t>08:00-16:00</t>
        </is>
      </c>
    </row>
    <row r="723">
      <c r="A723" t="inlineStr">
        <is>
          <t>2026-09-28</t>
        </is>
      </c>
      <c r="B723" t="inlineStr">
        <is>
          <t>Mon</t>
        </is>
      </c>
      <c r="C723" t="inlineStr">
        <is>
          <t>Farming</t>
        </is>
      </c>
      <c r="D723" t="inlineStr">
        <is>
          <t>Pele</t>
        </is>
      </c>
      <c r="E723" t="n">
        <v>2</v>
      </c>
      <c r="F723" t="inlineStr">
        <is>
          <t>16:00-24:00</t>
        </is>
      </c>
      <c r="H723" t="inlineStr">
        <is>
          <t>ANT &amp; ELMORE</t>
        </is>
      </c>
    </row>
    <row r="724">
      <c r="A724" t="inlineStr">
        <is>
          <t>2026-09-28</t>
        </is>
      </c>
      <c r="B724" t="inlineStr">
        <is>
          <t>Mon</t>
        </is>
      </c>
      <c r="C724" t="inlineStr">
        <is>
          <t>Farming</t>
        </is>
      </c>
      <c r="D724" t="inlineStr">
        <is>
          <t>Pele</t>
        </is>
      </c>
      <c r="E724" t="n">
        <v>3</v>
      </c>
      <c r="F724" t="inlineStr">
        <is>
          <t>24:00-08:00</t>
        </is>
      </c>
      <c r="H724" t="inlineStr">
        <is>
          <t>ELMORE</t>
        </is>
      </c>
    </row>
    <row r="725">
      <c r="A725" t="inlineStr">
        <is>
          <t>2026-09-28</t>
        </is>
      </c>
      <c r="B725" t="inlineStr">
        <is>
          <t>Mon</t>
        </is>
      </c>
      <c r="C725" t="inlineStr">
        <is>
          <t>Farming</t>
        </is>
      </c>
      <c r="D725" t="inlineStr">
        <is>
          <t>Ronaldo</t>
        </is>
      </c>
      <c r="E725" t="n">
        <v>1</v>
      </c>
      <c r="F725" t="inlineStr">
        <is>
          <t>08:00-16:00</t>
        </is>
      </c>
    </row>
    <row r="726">
      <c r="A726" t="inlineStr">
        <is>
          <t>2026-09-28</t>
        </is>
      </c>
      <c r="B726" t="inlineStr">
        <is>
          <t>Mon</t>
        </is>
      </c>
      <c r="C726" t="inlineStr">
        <is>
          <t>Farming</t>
        </is>
      </c>
      <c r="D726" t="inlineStr">
        <is>
          <t>Ronaldo</t>
        </is>
      </c>
      <c r="E726" t="n">
        <v>2</v>
      </c>
      <c r="F726" t="inlineStr">
        <is>
          <t>16:00-24:00</t>
        </is>
      </c>
      <c r="H726" t="inlineStr">
        <is>
          <t>Ivory Tower 4~5</t>
        </is>
      </c>
    </row>
    <row r="727">
      <c r="A727" t="inlineStr">
        <is>
          <t>2026-09-28</t>
        </is>
      </c>
      <c r="B727" t="inlineStr">
        <is>
          <t>Mon</t>
        </is>
      </c>
      <c r="C727" t="inlineStr">
        <is>
          <t>Farming</t>
        </is>
      </c>
      <c r="D727" t="inlineStr">
        <is>
          <t>Ronaldo</t>
        </is>
      </c>
      <c r="E727" t="n">
        <v>3</v>
      </c>
      <c r="F727" t="inlineStr">
        <is>
          <t>24:00-08:00</t>
        </is>
      </c>
      <c r="H727" t="inlineStr">
        <is>
          <t>Ivory flr4&amp;5</t>
        </is>
      </c>
    </row>
    <row r="728">
      <c r="A728" t="inlineStr">
        <is>
          <t>2026-09-28</t>
        </is>
      </c>
      <c r="B728" t="inlineStr">
        <is>
          <t>Mon</t>
        </is>
      </c>
      <c r="C728" t="inlineStr">
        <is>
          <t>Farming</t>
        </is>
      </c>
      <c r="D728" t="inlineStr">
        <is>
          <t>Sarim</t>
        </is>
      </c>
      <c r="E728" t="n">
        <v>1</v>
      </c>
      <c r="F728" t="inlineStr">
        <is>
          <t>08:00-16:00</t>
        </is>
      </c>
    </row>
    <row r="729">
      <c r="A729" t="inlineStr">
        <is>
          <t>2026-09-28</t>
        </is>
      </c>
      <c r="B729" t="inlineStr">
        <is>
          <t>Mon</t>
        </is>
      </c>
      <c r="C729" t="inlineStr">
        <is>
          <t>Farming</t>
        </is>
      </c>
      <c r="D729" t="inlineStr">
        <is>
          <t>Sarim</t>
        </is>
      </c>
      <c r="E729" t="n">
        <v>2</v>
      </c>
      <c r="F729" t="inlineStr">
        <is>
          <t>16:00-24:00</t>
        </is>
      </c>
      <c r="H729" t="inlineStr">
        <is>
          <t>ELMORE &amp; DD</t>
        </is>
      </c>
    </row>
    <row r="730">
      <c r="A730" t="inlineStr">
        <is>
          <t>2026-09-28</t>
        </is>
      </c>
      <c r="B730" t="inlineStr">
        <is>
          <t>Mon</t>
        </is>
      </c>
      <c r="C730" t="inlineStr">
        <is>
          <t>Farming</t>
        </is>
      </c>
      <c r="D730" t="inlineStr">
        <is>
          <t>Sarim</t>
        </is>
      </c>
      <c r="E730" t="n">
        <v>3</v>
      </c>
      <c r="F730" t="inlineStr">
        <is>
          <t>24:00-08:00</t>
        </is>
      </c>
      <c r="H730" t="inlineStr">
        <is>
          <t>Elmore</t>
        </is>
      </c>
    </row>
    <row r="731">
      <c r="A731" t="inlineStr">
        <is>
          <t>2026-09-28</t>
        </is>
      </c>
      <c r="B731" t="inlineStr">
        <is>
          <t>Mon</t>
        </is>
      </c>
      <c r="C731" t="inlineStr">
        <is>
          <t>Farming</t>
        </is>
      </c>
      <c r="D731" t="inlineStr">
        <is>
          <t>Sinsang</t>
        </is>
      </c>
      <c r="E731" t="n">
        <v>1</v>
      </c>
      <c r="F731" t="inlineStr">
        <is>
          <t>OFF</t>
        </is>
      </c>
    </row>
    <row r="732">
      <c r="A732" t="inlineStr">
        <is>
          <t>2026-09-28</t>
        </is>
      </c>
      <c r="B732" t="inlineStr">
        <is>
          <t>Mon</t>
        </is>
      </c>
      <c r="C732" t="inlineStr">
        <is>
          <t>Farming</t>
        </is>
      </c>
      <c r="D732" t="inlineStr">
        <is>
          <t>Sudden</t>
        </is>
      </c>
      <c r="E732" t="n">
        <v>1</v>
      </c>
      <c r="F732" t="inlineStr">
        <is>
          <t>08:00-16:00</t>
        </is>
      </c>
    </row>
    <row r="733">
      <c r="A733" t="inlineStr">
        <is>
          <t>2026-09-28</t>
        </is>
      </c>
      <c r="B733" t="inlineStr">
        <is>
          <t>Mon</t>
        </is>
      </c>
      <c r="C733" t="inlineStr">
        <is>
          <t>Farming</t>
        </is>
      </c>
      <c r="D733" t="inlineStr">
        <is>
          <t>Sudden</t>
        </is>
      </c>
      <c r="E733" t="n">
        <v>2</v>
      </c>
      <c r="F733" t="inlineStr">
        <is>
          <t>16:00-24:00</t>
        </is>
      </c>
      <c r="H733" t="inlineStr">
        <is>
          <t>ELMORE &amp; DD</t>
        </is>
      </c>
    </row>
    <row r="734">
      <c r="A734" t="inlineStr">
        <is>
          <t>2026-09-28</t>
        </is>
      </c>
      <c r="B734" t="inlineStr">
        <is>
          <t>Mon</t>
        </is>
      </c>
      <c r="C734" t="inlineStr">
        <is>
          <t>Farming</t>
        </is>
      </c>
      <c r="D734" t="inlineStr">
        <is>
          <t>Sudden</t>
        </is>
      </c>
      <c r="E734" t="n">
        <v>3</v>
      </c>
      <c r="F734" t="inlineStr">
        <is>
          <t>24:00-08:00</t>
        </is>
      </c>
      <c r="H734" t="inlineStr">
        <is>
          <t>Elmore</t>
        </is>
      </c>
    </row>
    <row r="735">
      <c r="A735" t="inlineStr">
        <is>
          <t>2026-09-28</t>
        </is>
      </c>
      <c r="B735" t="inlineStr">
        <is>
          <t>Mon</t>
        </is>
      </c>
      <c r="C735" t="inlineStr">
        <is>
          <t>Farming</t>
        </is>
      </c>
      <c r="D735" t="inlineStr">
        <is>
          <t>Sunsang</t>
        </is>
      </c>
      <c r="E735" t="n">
        <v>1</v>
      </c>
      <c r="F735" t="inlineStr">
        <is>
          <t>OFF</t>
        </is>
      </c>
    </row>
    <row r="736">
      <c r="A736" t="inlineStr">
        <is>
          <t>2026-09-28</t>
        </is>
      </c>
      <c r="B736" t="inlineStr">
        <is>
          <t>Mon</t>
        </is>
      </c>
      <c r="C736" t="inlineStr">
        <is>
          <t>Farming</t>
        </is>
      </c>
      <c r="D736" t="inlineStr">
        <is>
          <t>Sunsang</t>
        </is>
      </c>
      <c r="E736" t="n">
        <v>2</v>
      </c>
      <c r="F736" t="inlineStr">
        <is>
          <t>OFF</t>
        </is>
      </c>
    </row>
    <row r="737">
      <c r="A737" t="inlineStr">
        <is>
          <t>2026-09-28</t>
        </is>
      </c>
      <c r="B737" t="inlineStr">
        <is>
          <t>Mon</t>
        </is>
      </c>
      <c r="C737" t="inlineStr">
        <is>
          <t>Farming</t>
        </is>
      </c>
      <c r="D737" t="inlineStr">
        <is>
          <t>Taejo</t>
        </is>
      </c>
      <c r="E737" t="n">
        <v>1</v>
      </c>
      <c r="F737" t="inlineStr">
        <is>
          <t>08:00-16:00</t>
        </is>
      </c>
    </row>
    <row r="738">
      <c r="A738" t="inlineStr">
        <is>
          <t>2026-09-28</t>
        </is>
      </c>
      <c r="B738" t="inlineStr">
        <is>
          <t>Mon</t>
        </is>
      </c>
      <c r="C738" t="inlineStr">
        <is>
          <t>Farming</t>
        </is>
      </c>
      <c r="D738" t="inlineStr">
        <is>
          <t>Taejo</t>
        </is>
      </c>
      <c r="E738" t="n">
        <v>2</v>
      </c>
      <c r="F738" t="inlineStr">
        <is>
          <t>16:00-24:00</t>
        </is>
      </c>
      <c r="H738" t="inlineStr">
        <is>
          <t>ELMORE &amp; DD</t>
        </is>
      </c>
    </row>
    <row r="739">
      <c r="A739" t="inlineStr">
        <is>
          <t>2026-09-28</t>
        </is>
      </c>
      <c r="B739" t="inlineStr">
        <is>
          <t>Mon</t>
        </is>
      </c>
      <c r="C739" t="inlineStr">
        <is>
          <t>Farming</t>
        </is>
      </c>
      <c r="D739" t="inlineStr">
        <is>
          <t>Taejo</t>
        </is>
      </c>
      <c r="E739" t="n">
        <v>3</v>
      </c>
      <c r="F739" t="inlineStr">
        <is>
          <t>24:00-08:00</t>
        </is>
      </c>
      <c r="H739" t="inlineStr">
        <is>
          <t>Elmore</t>
        </is>
      </c>
    </row>
    <row r="740">
      <c r="A740" t="inlineStr">
        <is>
          <t>2026-09-29</t>
        </is>
      </c>
      <c r="B740" t="inlineStr">
        <is>
          <t>Tue</t>
        </is>
      </c>
      <c r="C740" t="inlineStr">
        <is>
          <t>Client</t>
        </is>
      </c>
      <c r="D740" t="inlineStr">
        <is>
          <t>ADA</t>
        </is>
      </c>
      <c r="E740" t="n">
        <v>1</v>
      </c>
      <c r="F740" t="inlineStr">
        <is>
          <t>09:00-17:00</t>
        </is>
      </c>
    </row>
    <row r="741">
      <c r="A741" t="inlineStr">
        <is>
          <t>2026-09-29</t>
        </is>
      </c>
      <c r="B741" t="inlineStr">
        <is>
          <t>Tue</t>
        </is>
      </c>
      <c r="C741" t="inlineStr">
        <is>
          <t>Client</t>
        </is>
      </c>
      <c r="D741" t="inlineStr">
        <is>
          <t>ADA</t>
        </is>
      </c>
      <c r="E741" t="n">
        <v>2</v>
      </c>
      <c r="F741" t="inlineStr">
        <is>
          <t>OFF</t>
        </is>
      </c>
    </row>
    <row r="742">
      <c r="A742" t="inlineStr">
        <is>
          <t>2026-09-29</t>
        </is>
      </c>
      <c r="B742" t="inlineStr">
        <is>
          <t>Tue</t>
        </is>
      </c>
      <c r="C742" t="inlineStr">
        <is>
          <t>Client</t>
        </is>
      </c>
      <c r="D742" t="inlineStr">
        <is>
          <t>Alex</t>
        </is>
      </c>
      <c r="E742" t="n">
        <v>1</v>
      </c>
      <c r="F742" t="inlineStr">
        <is>
          <t>08:00-15:00</t>
        </is>
      </c>
      <c r="H742" t="inlineStr">
        <is>
          <t>Ivory Tower 4~5</t>
        </is>
      </c>
    </row>
    <row r="743">
      <c r="A743" t="inlineStr">
        <is>
          <t>2026-09-29</t>
        </is>
      </c>
      <c r="B743" t="inlineStr">
        <is>
          <t>Tue</t>
        </is>
      </c>
      <c r="C743" t="inlineStr">
        <is>
          <t>Client</t>
        </is>
      </c>
      <c r="D743" t="inlineStr">
        <is>
          <t>Alex</t>
        </is>
      </c>
      <c r="E743" t="n">
        <v>2</v>
      </c>
      <c r="F743" t="inlineStr">
        <is>
          <t>15:00-22:00</t>
        </is>
      </c>
      <c r="H743" t="inlineStr">
        <is>
          <t>Ivory Tower 6~7</t>
        </is>
      </c>
    </row>
    <row r="744">
      <c r="A744" t="inlineStr">
        <is>
          <t>2026-09-29</t>
        </is>
      </c>
      <c r="B744" t="inlineStr">
        <is>
          <t>Tue</t>
        </is>
      </c>
      <c r="C744" t="inlineStr">
        <is>
          <t>Client</t>
        </is>
      </c>
      <c r="D744" t="inlineStr">
        <is>
          <t>Alex</t>
        </is>
      </c>
      <c r="E744" t="n">
        <v>3</v>
      </c>
      <c r="F744" t="inlineStr">
        <is>
          <t>24:00-04:00</t>
        </is>
      </c>
      <c r="H744" t="inlineStr">
        <is>
          <t>Ivory Tower 4~5</t>
        </is>
      </c>
    </row>
    <row r="745">
      <c r="A745" t="inlineStr">
        <is>
          <t>2026-09-29</t>
        </is>
      </c>
      <c r="B745" t="inlineStr">
        <is>
          <t>Tue</t>
        </is>
      </c>
      <c r="C745" t="inlineStr">
        <is>
          <t>Client</t>
        </is>
      </c>
      <c r="D745" t="inlineStr">
        <is>
          <t>Beongaebul</t>
        </is>
      </c>
      <c r="E745" t="n">
        <v>1</v>
      </c>
      <c r="F745" t="inlineStr">
        <is>
          <t>OFF</t>
        </is>
      </c>
    </row>
    <row r="746">
      <c r="A746" t="inlineStr">
        <is>
          <t>2026-09-29</t>
        </is>
      </c>
      <c r="B746" t="inlineStr">
        <is>
          <t>Tue</t>
        </is>
      </c>
      <c r="C746" t="inlineStr">
        <is>
          <t>Client</t>
        </is>
      </c>
      <c r="D746" t="inlineStr">
        <is>
          <t>Captain</t>
        </is>
      </c>
      <c r="E746" t="n">
        <v>1</v>
      </c>
      <c r="F746" t="inlineStr">
        <is>
          <t>OFF</t>
        </is>
      </c>
    </row>
    <row r="747">
      <c r="A747" t="inlineStr">
        <is>
          <t>2026-09-29</t>
        </is>
      </c>
      <c r="B747" t="inlineStr">
        <is>
          <t>Tue</t>
        </is>
      </c>
      <c r="C747" t="inlineStr">
        <is>
          <t>Client</t>
        </is>
      </c>
      <c r="D747" t="inlineStr">
        <is>
          <t>Captain</t>
        </is>
      </c>
      <c r="E747" t="n">
        <v>2</v>
      </c>
      <c r="F747" t="inlineStr">
        <is>
          <t>OFF</t>
        </is>
      </c>
    </row>
    <row r="748">
      <c r="A748" t="inlineStr">
        <is>
          <t>2026-09-29</t>
        </is>
      </c>
      <c r="B748" t="inlineStr">
        <is>
          <t>Tue</t>
        </is>
      </c>
      <c r="C748" t="inlineStr">
        <is>
          <t>Client</t>
        </is>
      </c>
      <c r="D748" t="inlineStr">
        <is>
          <t>Dalo</t>
        </is>
      </c>
      <c r="E748" t="n">
        <v>1</v>
      </c>
      <c r="F748" t="inlineStr">
        <is>
          <t>OFF</t>
        </is>
      </c>
    </row>
    <row r="749">
      <c r="A749" t="inlineStr">
        <is>
          <t>2026-09-29</t>
        </is>
      </c>
      <c r="B749" t="inlineStr">
        <is>
          <t>Tue</t>
        </is>
      </c>
      <c r="C749" t="inlineStr">
        <is>
          <t>Client</t>
        </is>
      </c>
      <c r="D749" t="inlineStr">
        <is>
          <t>Dalo</t>
        </is>
      </c>
      <c r="E749" t="n">
        <v>2</v>
      </c>
      <c r="F749" t="inlineStr">
        <is>
          <t>OFF</t>
        </is>
      </c>
    </row>
    <row r="750">
      <c r="A750" t="inlineStr">
        <is>
          <t>2026-09-29</t>
        </is>
      </c>
      <c r="B750" t="inlineStr">
        <is>
          <t>Tue</t>
        </is>
      </c>
      <c r="C750" t="inlineStr">
        <is>
          <t>Client</t>
        </is>
      </c>
      <c r="D750" t="inlineStr">
        <is>
          <t>Dalo</t>
        </is>
      </c>
      <c r="E750" t="n">
        <v>3</v>
      </c>
      <c r="F750" t="inlineStr">
        <is>
          <t>OFF</t>
        </is>
      </c>
    </row>
    <row r="751">
      <c r="A751" t="inlineStr">
        <is>
          <t>2026-09-29</t>
        </is>
      </c>
      <c r="B751" t="inlineStr">
        <is>
          <t>Tue</t>
        </is>
      </c>
      <c r="C751" t="inlineStr">
        <is>
          <t>Client</t>
        </is>
      </c>
      <c r="D751" t="inlineStr">
        <is>
          <t>Dodam</t>
        </is>
      </c>
      <c r="E751" t="n">
        <v>1</v>
      </c>
      <c r="F751" t="inlineStr">
        <is>
          <t>23:00-04:00</t>
        </is>
      </c>
      <c r="H751" t="inlineStr">
        <is>
          <t>Island of Dreams</t>
        </is>
      </c>
    </row>
    <row r="752">
      <c r="A752" t="inlineStr">
        <is>
          <t>2026-09-29</t>
        </is>
      </c>
      <c r="B752" t="inlineStr">
        <is>
          <t>Tue</t>
        </is>
      </c>
      <c r="C752" t="inlineStr">
        <is>
          <t>Client</t>
        </is>
      </c>
      <c r="D752" t="inlineStr">
        <is>
          <t>Dodam</t>
        </is>
      </c>
      <c r="E752" t="n">
        <v>2</v>
      </c>
      <c r="F752" t="inlineStr">
        <is>
          <t>07:00-19:00</t>
        </is>
      </c>
    </row>
    <row r="753">
      <c r="A753" t="inlineStr">
        <is>
          <t>2026-09-29</t>
        </is>
      </c>
      <c r="B753" t="inlineStr">
        <is>
          <t>Tue</t>
        </is>
      </c>
      <c r="C753" t="inlineStr">
        <is>
          <t>Client</t>
        </is>
      </c>
      <c r="D753" t="inlineStr">
        <is>
          <t>Dol</t>
        </is>
      </c>
      <c r="E753" t="n">
        <v>1</v>
      </c>
      <c r="F753" t="inlineStr">
        <is>
          <t>OFF</t>
        </is>
      </c>
    </row>
    <row r="754">
      <c r="A754" t="inlineStr">
        <is>
          <t>2026-09-29</t>
        </is>
      </c>
      <c r="B754" t="inlineStr">
        <is>
          <t>Tue</t>
        </is>
      </c>
      <c r="C754" t="inlineStr">
        <is>
          <t>Client</t>
        </is>
      </c>
      <c r="D754" t="inlineStr">
        <is>
          <t>Dol</t>
        </is>
      </c>
      <c r="E754" t="n">
        <v>2</v>
      </c>
      <c r="F754" t="inlineStr">
        <is>
          <t>14:00-22:00</t>
        </is>
      </c>
      <c r="H754" t="inlineStr">
        <is>
          <t>AL</t>
        </is>
      </c>
    </row>
    <row r="755">
      <c r="A755" t="inlineStr">
        <is>
          <t>2026-09-29</t>
        </is>
      </c>
      <c r="B755" t="inlineStr">
        <is>
          <t>Tue</t>
        </is>
      </c>
      <c r="C755" t="inlineStr">
        <is>
          <t>Client</t>
        </is>
      </c>
      <c r="D755" t="inlineStr">
        <is>
          <t>Doma</t>
        </is>
      </c>
      <c r="E755" t="n">
        <v>1</v>
      </c>
      <c r="F755" t="inlineStr">
        <is>
          <t>OFF</t>
        </is>
      </c>
    </row>
    <row r="756">
      <c r="A756" t="inlineStr">
        <is>
          <t>2026-09-29</t>
        </is>
      </c>
      <c r="B756" t="inlineStr">
        <is>
          <t>Tue</t>
        </is>
      </c>
      <c r="C756" t="inlineStr">
        <is>
          <t>Client</t>
        </is>
      </c>
      <c r="D756" t="inlineStr">
        <is>
          <t>Doma</t>
        </is>
      </c>
      <c r="E756" t="n">
        <v>2</v>
      </c>
      <c r="F756" t="inlineStr">
        <is>
          <t>21:00-04:00</t>
        </is>
      </c>
      <c r="H756" t="inlineStr">
        <is>
          <t>Ivory Tower</t>
        </is>
      </c>
    </row>
    <row r="757">
      <c r="A757" t="inlineStr">
        <is>
          <t>2026-09-29</t>
        </is>
      </c>
      <c r="B757" t="inlineStr">
        <is>
          <t>Tue</t>
        </is>
      </c>
      <c r="C757" t="inlineStr">
        <is>
          <t>Client</t>
        </is>
      </c>
      <c r="D757" t="inlineStr">
        <is>
          <t>Duga</t>
        </is>
      </c>
      <c r="E757" t="n">
        <v>1</v>
      </c>
      <c r="F757" t="inlineStr">
        <is>
          <t>07:00-15:00</t>
        </is>
      </c>
    </row>
    <row r="758">
      <c r="A758" t="inlineStr">
        <is>
          <t>2026-09-29</t>
        </is>
      </c>
      <c r="B758" t="inlineStr">
        <is>
          <t>Tue</t>
        </is>
      </c>
      <c r="C758" t="inlineStr">
        <is>
          <t>Client</t>
        </is>
      </c>
      <c r="D758" t="inlineStr">
        <is>
          <t>Elf</t>
        </is>
      </c>
      <c r="E758" t="n">
        <v>1</v>
      </c>
      <c r="F758" t="inlineStr">
        <is>
          <t>OFF</t>
        </is>
      </c>
    </row>
    <row r="759">
      <c r="A759" t="inlineStr">
        <is>
          <t>2026-09-29</t>
        </is>
      </c>
      <c r="B759" t="inlineStr">
        <is>
          <t>Tue</t>
        </is>
      </c>
      <c r="C759" t="inlineStr">
        <is>
          <t>Client</t>
        </is>
      </c>
      <c r="D759" t="inlineStr">
        <is>
          <t>Geonbae</t>
        </is>
      </c>
      <c r="E759" t="n">
        <v>1</v>
      </c>
      <c r="F759" t="inlineStr">
        <is>
          <t>OFF</t>
        </is>
      </c>
    </row>
    <row r="760">
      <c r="A760" t="inlineStr">
        <is>
          <t>2026-09-29</t>
        </is>
      </c>
      <c r="B760" t="inlineStr">
        <is>
          <t>Tue</t>
        </is>
      </c>
      <c r="C760" t="inlineStr">
        <is>
          <t>Client</t>
        </is>
      </c>
      <c r="D760" t="inlineStr">
        <is>
          <t>Geonbae</t>
        </is>
      </c>
      <c r="E760" t="n">
        <v>2</v>
      </c>
      <c r="F760" t="inlineStr">
        <is>
          <t>23:00-04:00</t>
        </is>
      </c>
      <c r="H760" t="inlineStr">
        <is>
          <t>Ivory Tower</t>
        </is>
      </c>
    </row>
    <row r="761">
      <c r="A761" t="inlineStr">
        <is>
          <t>2026-09-29</t>
        </is>
      </c>
      <c r="B761" t="inlineStr">
        <is>
          <t>Tue</t>
        </is>
      </c>
      <c r="C761" t="inlineStr">
        <is>
          <t>Client</t>
        </is>
      </c>
      <c r="D761" t="inlineStr">
        <is>
          <t>Goop</t>
        </is>
      </c>
      <c r="E761" t="n">
        <v>1</v>
      </c>
      <c r="F761" t="inlineStr">
        <is>
          <t>OFF</t>
        </is>
      </c>
    </row>
    <row r="762">
      <c r="A762" t="inlineStr">
        <is>
          <t>2026-09-29</t>
        </is>
      </c>
      <c r="B762" t="inlineStr">
        <is>
          <t>Tue</t>
        </is>
      </c>
      <c r="C762" t="inlineStr">
        <is>
          <t>Client</t>
        </is>
      </c>
      <c r="D762" t="inlineStr">
        <is>
          <t>Heon</t>
        </is>
      </c>
      <c r="E762" t="n">
        <v>1</v>
      </c>
      <c r="F762" t="inlineStr">
        <is>
          <t>OFF</t>
        </is>
      </c>
    </row>
    <row r="763">
      <c r="A763" t="inlineStr">
        <is>
          <t>2026-09-29</t>
        </is>
      </c>
      <c r="B763" t="inlineStr">
        <is>
          <t>Tue</t>
        </is>
      </c>
      <c r="C763" t="inlineStr">
        <is>
          <t>Client</t>
        </is>
      </c>
      <c r="D763" t="inlineStr">
        <is>
          <t>Jjuni</t>
        </is>
      </c>
      <c r="E763" t="n">
        <v>1</v>
      </c>
      <c r="F763" t="inlineStr">
        <is>
          <t>13:00-21:00</t>
        </is>
      </c>
    </row>
    <row r="764">
      <c r="A764" t="inlineStr">
        <is>
          <t>2026-09-29</t>
        </is>
      </c>
      <c r="B764" t="inlineStr">
        <is>
          <t>Tue</t>
        </is>
      </c>
      <c r="C764" t="inlineStr">
        <is>
          <t>Client</t>
        </is>
      </c>
      <c r="D764" t="inlineStr">
        <is>
          <t>Jjuni</t>
        </is>
      </c>
      <c r="E764" t="n">
        <v>2</v>
      </c>
      <c r="F764" t="inlineStr">
        <is>
          <t>OFF</t>
        </is>
      </c>
    </row>
    <row r="765">
      <c r="A765" t="inlineStr">
        <is>
          <t>2026-09-29</t>
        </is>
      </c>
      <c r="B765" t="inlineStr">
        <is>
          <t>Tue</t>
        </is>
      </c>
      <c r="C765" t="inlineStr">
        <is>
          <t>Client</t>
        </is>
      </c>
      <c r="D765" t="inlineStr">
        <is>
          <t>Jjuni</t>
        </is>
      </c>
      <c r="E765" t="n">
        <v>3</v>
      </c>
      <c r="F765" t="inlineStr">
        <is>
          <t>OFF</t>
        </is>
      </c>
      <c r="H765" t="inlineStr">
        <is>
          <t>Ivory Tower</t>
        </is>
      </c>
    </row>
    <row r="766">
      <c r="A766" t="inlineStr">
        <is>
          <t>2026-09-29</t>
        </is>
      </c>
      <c r="B766" t="inlineStr">
        <is>
          <t>Tue</t>
        </is>
      </c>
      <c r="C766" t="inlineStr">
        <is>
          <t>Client</t>
        </is>
      </c>
      <c r="D766" t="inlineStr">
        <is>
          <t>Jo</t>
        </is>
      </c>
      <c r="E766" t="n">
        <v>1</v>
      </c>
      <c r="F766" t="inlineStr">
        <is>
          <t>OFF</t>
        </is>
      </c>
    </row>
    <row r="767">
      <c r="A767" t="inlineStr">
        <is>
          <t>2026-09-29</t>
        </is>
      </c>
      <c r="B767" t="inlineStr">
        <is>
          <t>Tue</t>
        </is>
      </c>
      <c r="C767" t="inlineStr">
        <is>
          <t>Client</t>
        </is>
      </c>
      <c r="D767" t="inlineStr">
        <is>
          <t>Lammy Queen</t>
        </is>
      </c>
      <c r="E767" t="n">
        <v>1</v>
      </c>
      <c r="F767" t="inlineStr">
        <is>
          <t>OFF</t>
        </is>
      </c>
      <c r="H767" t="inlineStr">
        <is>
          <t>Island of Dreams</t>
        </is>
      </c>
    </row>
    <row r="768">
      <c r="A768" t="inlineStr">
        <is>
          <t>2026-09-29</t>
        </is>
      </c>
      <c r="B768" t="inlineStr">
        <is>
          <t>Tue</t>
        </is>
      </c>
      <c r="C768" t="inlineStr">
        <is>
          <t>Client</t>
        </is>
      </c>
      <c r="D768" t="inlineStr">
        <is>
          <t>Lammy Queen</t>
        </is>
      </c>
      <c r="E768" t="n">
        <v>2</v>
      </c>
      <c r="F768" t="inlineStr">
        <is>
          <t>22:00-04:00</t>
        </is>
      </c>
      <c r="H768" t="inlineStr">
        <is>
          <t>Abandon Land</t>
        </is>
      </c>
    </row>
    <row r="769">
      <c r="A769" t="inlineStr">
        <is>
          <t>2026-09-29</t>
        </is>
      </c>
      <c r="B769" t="inlineStr">
        <is>
          <t>Tue</t>
        </is>
      </c>
      <c r="C769" t="inlineStr">
        <is>
          <t>Client</t>
        </is>
      </c>
      <c r="D769" t="inlineStr">
        <is>
          <t>Lolly</t>
        </is>
      </c>
      <c r="E769" t="n">
        <v>1</v>
      </c>
      <c r="F769" t="inlineStr">
        <is>
          <t>09:00-17:00</t>
        </is>
      </c>
      <c r="H769" t="inlineStr">
        <is>
          <t>abandoned land 3
a land of corruption5</t>
        </is>
      </c>
    </row>
    <row r="770">
      <c r="A770" t="inlineStr">
        <is>
          <t>2026-09-29</t>
        </is>
      </c>
      <c r="B770" t="inlineStr">
        <is>
          <t>Tue</t>
        </is>
      </c>
      <c r="C770" t="inlineStr">
        <is>
          <t>Client</t>
        </is>
      </c>
      <c r="D770" t="inlineStr">
        <is>
          <t>Mukkbo</t>
        </is>
      </c>
      <c r="E770" t="n">
        <v>1</v>
      </c>
      <c r="F770" t="inlineStr">
        <is>
          <t>OFF</t>
        </is>
      </c>
    </row>
    <row r="771">
      <c r="A771" t="inlineStr">
        <is>
          <t>2026-09-29</t>
        </is>
      </c>
      <c r="B771" t="inlineStr">
        <is>
          <t>Tue</t>
        </is>
      </c>
      <c r="C771" t="inlineStr">
        <is>
          <t>Client</t>
        </is>
      </c>
      <c r="D771" t="inlineStr">
        <is>
          <t>Mukkbo</t>
        </is>
      </c>
      <c r="E771" t="n">
        <v>2</v>
      </c>
      <c r="F771" t="inlineStr">
        <is>
          <t>OFF</t>
        </is>
      </c>
    </row>
    <row r="772">
      <c r="A772" t="inlineStr">
        <is>
          <t>2026-09-29</t>
        </is>
      </c>
      <c r="B772" t="inlineStr">
        <is>
          <t>Tue</t>
        </is>
      </c>
      <c r="C772" t="inlineStr">
        <is>
          <t>Client</t>
        </is>
      </c>
      <c r="D772" t="inlineStr">
        <is>
          <t>Munjin</t>
        </is>
      </c>
      <c r="E772" t="n">
        <v>1</v>
      </c>
      <c r="F772" t="inlineStr">
        <is>
          <t>OFF</t>
        </is>
      </c>
    </row>
    <row r="773">
      <c r="A773" t="inlineStr">
        <is>
          <t>2026-09-29</t>
        </is>
      </c>
      <c r="B773" t="inlineStr">
        <is>
          <t>Tue</t>
        </is>
      </c>
      <c r="C773" t="inlineStr">
        <is>
          <t>Client</t>
        </is>
      </c>
      <c r="D773" t="inlineStr">
        <is>
          <t>Neburegi</t>
        </is>
      </c>
      <c r="E773" t="n">
        <v>1</v>
      </c>
      <c r="F773" t="inlineStr">
        <is>
          <t>OFF</t>
        </is>
      </c>
    </row>
    <row r="774">
      <c r="A774" t="inlineStr">
        <is>
          <t>2026-09-29</t>
        </is>
      </c>
      <c r="B774" t="inlineStr">
        <is>
          <t>Tue</t>
        </is>
      </c>
      <c r="C774" t="inlineStr">
        <is>
          <t>Client</t>
        </is>
      </c>
      <c r="D774" t="inlineStr">
        <is>
          <t>Olleh</t>
        </is>
      </c>
      <c r="E774" t="n">
        <v>1</v>
      </c>
      <c r="F774" t="inlineStr">
        <is>
          <t>01:00-11:00</t>
        </is>
      </c>
      <c r="H774" t="inlineStr">
        <is>
          <t>Ivory Tower</t>
        </is>
      </c>
    </row>
    <row r="775">
      <c r="A775" t="inlineStr">
        <is>
          <t>2026-09-29</t>
        </is>
      </c>
      <c r="B775" t="inlineStr">
        <is>
          <t>Tue</t>
        </is>
      </c>
      <c r="C775" t="inlineStr">
        <is>
          <t>Client</t>
        </is>
      </c>
      <c r="D775" t="inlineStr">
        <is>
          <t>Olleh</t>
        </is>
      </c>
      <c r="E775" t="n">
        <v>2</v>
      </c>
      <c r="F775" t="inlineStr">
        <is>
          <t>23:00-04:00</t>
        </is>
      </c>
      <c r="H775" t="inlineStr">
        <is>
          <t>Ivory Tower</t>
        </is>
      </c>
    </row>
    <row r="776">
      <c r="A776" t="inlineStr">
        <is>
          <t>2026-09-29</t>
        </is>
      </c>
      <c r="B776" t="inlineStr">
        <is>
          <t>Tue</t>
        </is>
      </c>
      <c r="C776" t="inlineStr">
        <is>
          <t>Client</t>
        </is>
      </c>
      <c r="D776" t="inlineStr">
        <is>
          <t>Perez</t>
        </is>
      </c>
      <c r="E776" t="n">
        <v>1</v>
      </c>
      <c r="F776" t="inlineStr">
        <is>
          <t>08:00-15:00</t>
        </is>
      </c>
    </row>
    <row r="777">
      <c r="A777" t="inlineStr">
        <is>
          <t>2026-09-29</t>
        </is>
      </c>
      <c r="B777" t="inlineStr">
        <is>
          <t>Tue</t>
        </is>
      </c>
      <c r="C777" t="inlineStr">
        <is>
          <t>Client</t>
        </is>
      </c>
      <c r="D777" t="inlineStr">
        <is>
          <t>Perez</t>
        </is>
      </c>
      <c r="E777" t="n">
        <v>2</v>
      </c>
      <c r="F777" t="inlineStr">
        <is>
          <t>OFF</t>
        </is>
      </c>
      <c r="H777" t="inlineStr">
        <is>
          <t>LAND OF FALLEN / SPATOY</t>
        </is>
      </c>
    </row>
    <row r="778">
      <c r="A778" t="inlineStr">
        <is>
          <t>2026-09-29</t>
        </is>
      </c>
      <c r="B778" t="inlineStr">
        <is>
          <t>Tue</t>
        </is>
      </c>
      <c r="C778" t="inlineStr">
        <is>
          <t>Client</t>
        </is>
      </c>
      <c r="D778" t="inlineStr">
        <is>
          <t>Perez</t>
        </is>
      </c>
      <c r="E778" t="n">
        <v>3</v>
      </c>
      <c r="F778" t="inlineStr">
        <is>
          <t>20:00-04:00</t>
        </is>
      </c>
      <c r="H778" t="inlineStr">
        <is>
          <t>Abandon Land</t>
        </is>
      </c>
    </row>
    <row r="779">
      <c r="A779" t="inlineStr">
        <is>
          <t>2026-09-29</t>
        </is>
      </c>
      <c r="B779" t="inlineStr">
        <is>
          <t>Tue</t>
        </is>
      </c>
      <c r="C779" t="inlineStr">
        <is>
          <t>Client</t>
        </is>
      </c>
      <c r="D779" t="inlineStr">
        <is>
          <t>Power20</t>
        </is>
      </c>
      <c r="E779" t="n">
        <v>1</v>
      </c>
      <c r="F779" t="inlineStr">
        <is>
          <t>10:00-20:00</t>
        </is>
      </c>
    </row>
    <row r="780">
      <c r="A780" t="inlineStr">
        <is>
          <t>2026-09-29</t>
        </is>
      </c>
      <c r="B780" t="inlineStr">
        <is>
          <t>Tue</t>
        </is>
      </c>
      <c r="C780" t="inlineStr">
        <is>
          <t>Client</t>
        </is>
      </c>
      <c r="D780" t="inlineStr">
        <is>
          <t>Power20</t>
        </is>
      </c>
      <c r="E780" t="n">
        <v>2</v>
      </c>
      <c r="F780" t="inlineStr">
        <is>
          <t>OFF</t>
        </is>
      </c>
    </row>
    <row r="781">
      <c r="A781" t="inlineStr">
        <is>
          <t>2026-09-29</t>
        </is>
      </c>
      <c r="B781" t="inlineStr">
        <is>
          <t>Tue</t>
        </is>
      </c>
      <c r="C781" t="inlineStr">
        <is>
          <t>Client</t>
        </is>
      </c>
      <c r="D781" t="inlineStr">
        <is>
          <t>Power20</t>
        </is>
      </c>
      <c r="E781" t="n">
        <v>3</v>
      </c>
      <c r="F781" t="inlineStr">
        <is>
          <t>24:00-04:00</t>
        </is>
      </c>
      <c r="H781" t="inlineStr">
        <is>
          <t>Ivory Tower</t>
        </is>
      </c>
    </row>
    <row r="782">
      <c r="A782" t="inlineStr">
        <is>
          <t>2026-09-29</t>
        </is>
      </c>
      <c r="B782" t="inlineStr">
        <is>
          <t>Tue</t>
        </is>
      </c>
      <c r="C782" t="inlineStr">
        <is>
          <t>Client</t>
        </is>
      </c>
      <c r="D782" t="inlineStr">
        <is>
          <t>Real Madrid</t>
        </is>
      </c>
      <c r="E782" t="n">
        <v>1</v>
      </c>
      <c r="F782" t="inlineStr">
        <is>
          <t>20:00-04:00</t>
        </is>
      </c>
      <c r="H782" t="inlineStr">
        <is>
          <t>Ivory Tower</t>
        </is>
      </c>
    </row>
    <row r="783">
      <c r="A783" t="inlineStr">
        <is>
          <t>2026-09-29</t>
        </is>
      </c>
      <c r="B783" t="inlineStr">
        <is>
          <t>Tue</t>
        </is>
      </c>
      <c r="C783" t="inlineStr">
        <is>
          <t>Client</t>
        </is>
      </c>
      <c r="D783" t="inlineStr">
        <is>
          <t>Real Madrid</t>
        </is>
      </c>
      <c r="E783" t="n">
        <v>2</v>
      </c>
      <c r="F783" t="inlineStr">
        <is>
          <t>OFF</t>
        </is>
      </c>
      <c r="H783" t="inlineStr">
        <is>
          <t>Ivory Tower</t>
        </is>
      </c>
    </row>
    <row r="784">
      <c r="A784" t="inlineStr">
        <is>
          <t>2026-09-29</t>
        </is>
      </c>
      <c r="B784" t="inlineStr">
        <is>
          <t>Tue</t>
        </is>
      </c>
      <c r="C784" t="inlineStr">
        <is>
          <t>Client</t>
        </is>
      </c>
      <c r="D784" t="inlineStr">
        <is>
          <t>Real Madrid</t>
        </is>
      </c>
      <c r="E784" t="n">
        <v>3</v>
      </c>
      <c r="F784" t="inlineStr">
        <is>
          <t>OFF</t>
        </is>
      </c>
    </row>
    <row r="785">
      <c r="A785" t="inlineStr">
        <is>
          <t>2026-09-29</t>
        </is>
      </c>
      <c r="B785" t="inlineStr">
        <is>
          <t>Tue</t>
        </is>
      </c>
      <c r="C785" t="inlineStr">
        <is>
          <t>Client</t>
        </is>
      </c>
      <c r="D785" t="inlineStr">
        <is>
          <t>Return</t>
        </is>
      </c>
      <c r="E785" t="n">
        <v>1</v>
      </c>
      <c r="F785" t="inlineStr">
        <is>
          <t>OFF</t>
        </is>
      </c>
      <c r="H785" t="inlineStr">
        <is>
          <t>Ivory Tower</t>
        </is>
      </c>
    </row>
    <row r="786">
      <c r="A786" t="inlineStr">
        <is>
          <t>2026-09-29</t>
        </is>
      </c>
      <c r="B786" t="inlineStr">
        <is>
          <t>Tue</t>
        </is>
      </c>
      <c r="C786" t="inlineStr">
        <is>
          <t>Client</t>
        </is>
      </c>
      <c r="D786" t="inlineStr">
        <is>
          <t>Road</t>
        </is>
      </c>
      <c r="E786" t="n">
        <v>1</v>
      </c>
      <c r="F786" t="inlineStr">
        <is>
          <t>OFF</t>
        </is>
      </c>
    </row>
    <row r="787">
      <c r="A787" t="inlineStr">
        <is>
          <t>2026-09-29</t>
        </is>
      </c>
      <c r="B787" t="inlineStr">
        <is>
          <t>Tue</t>
        </is>
      </c>
      <c r="C787" t="inlineStr">
        <is>
          <t>Client</t>
        </is>
      </c>
      <c r="D787" t="inlineStr">
        <is>
          <t>SSEN</t>
        </is>
      </c>
      <c r="E787" t="n">
        <v>1</v>
      </c>
      <c r="F787" t="inlineStr">
        <is>
          <t>07:00-19:00</t>
        </is>
      </c>
    </row>
    <row r="788">
      <c r="A788" t="inlineStr">
        <is>
          <t>2026-09-29</t>
        </is>
      </c>
      <c r="B788" t="inlineStr">
        <is>
          <t>Tue</t>
        </is>
      </c>
      <c r="C788" t="inlineStr">
        <is>
          <t>Client</t>
        </is>
      </c>
      <c r="D788" t="inlineStr">
        <is>
          <t>Tiger</t>
        </is>
      </c>
      <c r="E788" t="n">
        <v>1</v>
      </c>
      <c r="F788" t="inlineStr">
        <is>
          <t>OFF</t>
        </is>
      </c>
    </row>
    <row r="789">
      <c r="A789" t="inlineStr">
        <is>
          <t>2026-09-29</t>
        </is>
      </c>
      <c r="B789" t="inlineStr">
        <is>
          <t>Tue</t>
        </is>
      </c>
      <c r="C789" t="inlineStr">
        <is>
          <t>Client</t>
        </is>
      </c>
      <c r="D789" t="inlineStr">
        <is>
          <t>Tiger</t>
        </is>
      </c>
      <c r="E789" t="n">
        <v>2</v>
      </c>
      <c r="F789" t="inlineStr">
        <is>
          <t>OFF</t>
        </is>
      </c>
      <c r="H789" t="inlineStr">
        <is>
          <t>Island of Dreams</t>
        </is>
      </c>
    </row>
    <row r="790">
      <c r="A790" t="inlineStr">
        <is>
          <t>2026-09-29</t>
        </is>
      </c>
      <c r="B790" t="inlineStr">
        <is>
          <t>Tue</t>
        </is>
      </c>
      <c r="C790" t="inlineStr">
        <is>
          <t>Client</t>
        </is>
      </c>
      <c r="D790" t="inlineStr">
        <is>
          <t>Yeoseo</t>
        </is>
      </c>
      <c r="E790" t="n">
        <v>1</v>
      </c>
      <c r="F790" t="inlineStr">
        <is>
          <t>OFF</t>
        </is>
      </c>
      <c r="H790" t="inlineStr">
        <is>
          <t>abandoned land 3
a land of corruption5</t>
        </is>
      </c>
    </row>
    <row r="791">
      <c r="A791" t="inlineStr">
        <is>
          <t>2026-09-29</t>
        </is>
      </c>
      <c r="B791" t="inlineStr">
        <is>
          <t>Tue</t>
        </is>
      </c>
      <c r="C791" t="inlineStr">
        <is>
          <t>Client</t>
        </is>
      </c>
      <c r="D791" t="inlineStr">
        <is>
          <t>Zombie</t>
        </is>
      </c>
      <c r="E791" t="n">
        <v>1</v>
      </c>
      <c r="F791" t="inlineStr">
        <is>
          <t>OFF</t>
        </is>
      </c>
    </row>
    <row r="792">
      <c r="A792" t="inlineStr">
        <is>
          <t>2026-09-29</t>
        </is>
      </c>
      <c r="B792" t="inlineStr">
        <is>
          <t>Tue</t>
        </is>
      </c>
      <c r="C792" t="inlineStr">
        <is>
          <t>Client</t>
        </is>
      </c>
      <c r="D792" t="inlineStr">
        <is>
          <t>Zombie</t>
        </is>
      </c>
      <c r="E792" t="n">
        <v>2</v>
      </c>
      <c r="F792" t="inlineStr">
        <is>
          <t>OFF</t>
        </is>
      </c>
    </row>
    <row r="793">
      <c r="A793" t="inlineStr">
        <is>
          <t>2026-09-29</t>
        </is>
      </c>
      <c r="B793" t="inlineStr">
        <is>
          <t>Tue</t>
        </is>
      </c>
      <c r="C793" t="inlineStr">
        <is>
          <t>Client</t>
        </is>
      </c>
      <c r="D793" t="inlineStr">
        <is>
          <t>Zombie</t>
        </is>
      </c>
      <c r="E793" t="n">
        <v>3</v>
      </c>
      <c r="F793" t="inlineStr">
        <is>
          <t>OFF</t>
        </is>
      </c>
      <c r="H793" t="inlineStr">
        <is>
          <t>Ivory Tower</t>
        </is>
      </c>
    </row>
    <row r="794">
      <c r="A794" t="inlineStr">
        <is>
          <t>2026-09-29</t>
        </is>
      </c>
      <c r="B794" t="inlineStr">
        <is>
          <t>Tue</t>
        </is>
      </c>
      <c r="C794" t="inlineStr">
        <is>
          <t>Farming</t>
        </is>
      </c>
      <c r="D794" t="inlineStr">
        <is>
          <t>Kangaroo</t>
        </is>
      </c>
      <c r="E794" t="n">
        <v>1</v>
      </c>
      <c r="F794" t="inlineStr">
        <is>
          <t>06:00-15:00</t>
        </is>
      </c>
      <c r="H794" t="inlineStr">
        <is>
          <t>Corrupted Land</t>
        </is>
      </c>
    </row>
    <row r="795">
      <c r="A795" t="inlineStr">
        <is>
          <t>2026-09-29</t>
        </is>
      </c>
      <c r="B795" t="inlineStr">
        <is>
          <t>Tue</t>
        </is>
      </c>
      <c r="C795" t="inlineStr">
        <is>
          <t>Farming</t>
        </is>
      </c>
      <c r="D795" t="inlineStr">
        <is>
          <t>Kangaroo</t>
        </is>
      </c>
      <c r="E795" t="n">
        <v>2</v>
      </c>
      <c r="F795" t="inlineStr">
        <is>
          <t>15:00-22:00</t>
        </is>
      </c>
      <c r="H795" t="inlineStr">
        <is>
          <t>Corrupted Land</t>
        </is>
      </c>
    </row>
    <row r="796">
      <c r="A796" t="inlineStr">
        <is>
          <t>2026-09-29</t>
        </is>
      </c>
      <c r="B796" t="inlineStr">
        <is>
          <t>Tue</t>
        </is>
      </c>
      <c r="C796" t="inlineStr">
        <is>
          <t>Farming</t>
        </is>
      </c>
      <c r="D796" t="inlineStr">
        <is>
          <t>Kangaroo</t>
        </is>
      </c>
      <c r="E796" t="n">
        <v>3</v>
      </c>
      <c r="F796" t="inlineStr">
        <is>
          <t>22:00-04:00</t>
        </is>
      </c>
      <c r="H796" t="inlineStr">
        <is>
          <t>Corrupted Land</t>
        </is>
      </c>
    </row>
    <row r="797">
      <c r="A797" t="inlineStr">
        <is>
          <t>2026-09-29</t>
        </is>
      </c>
      <c r="B797" t="inlineStr">
        <is>
          <t>Tue</t>
        </is>
      </c>
      <c r="C797" t="inlineStr">
        <is>
          <t>Farming</t>
        </is>
      </c>
      <c r="D797" t="inlineStr">
        <is>
          <t>Kyoryu</t>
        </is>
      </c>
      <c r="E797" t="n">
        <v>1</v>
      </c>
      <c r="F797" t="inlineStr">
        <is>
          <t>08:00-15:00</t>
        </is>
      </c>
    </row>
    <row r="798">
      <c r="A798" t="inlineStr">
        <is>
          <t>2026-09-29</t>
        </is>
      </c>
      <c r="B798" t="inlineStr">
        <is>
          <t>Tue</t>
        </is>
      </c>
      <c r="C798" t="inlineStr">
        <is>
          <t>Farming</t>
        </is>
      </c>
      <c r="D798" t="inlineStr">
        <is>
          <t>Kyoryu</t>
        </is>
      </c>
      <c r="E798" t="n">
        <v>2</v>
      </c>
      <c r="F798" t="inlineStr">
        <is>
          <t>15:00-20:00</t>
        </is>
      </c>
      <c r="H798" t="inlineStr">
        <is>
          <t>ELMORE &amp; DD</t>
        </is>
      </c>
    </row>
    <row r="799">
      <c r="A799" t="inlineStr">
        <is>
          <t>2026-09-29</t>
        </is>
      </c>
      <c r="B799" t="inlineStr">
        <is>
          <t>Tue</t>
        </is>
      </c>
      <c r="C799" t="inlineStr">
        <is>
          <t>Farming</t>
        </is>
      </c>
      <c r="D799" t="inlineStr">
        <is>
          <t>Kyoryu</t>
        </is>
      </c>
      <c r="E799" t="n">
        <v>3</v>
      </c>
      <c r="F799" t="inlineStr">
        <is>
          <t>22:00-04:00</t>
        </is>
      </c>
      <c r="H799" t="inlineStr">
        <is>
          <t>Elmore</t>
        </is>
      </c>
    </row>
    <row r="800">
      <c r="A800" t="inlineStr">
        <is>
          <t>2026-09-29</t>
        </is>
      </c>
      <c r="B800" t="inlineStr">
        <is>
          <t>Tue</t>
        </is>
      </c>
      <c r="C800" t="inlineStr">
        <is>
          <t>Farming</t>
        </is>
      </c>
      <c r="D800" t="inlineStr">
        <is>
          <t>Marcelo</t>
        </is>
      </c>
      <c r="E800" t="n">
        <v>1</v>
      </c>
      <c r="F800" t="inlineStr">
        <is>
          <t>08:00-15:00</t>
        </is>
      </c>
    </row>
    <row r="801">
      <c r="A801" t="inlineStr">
        <is>
          <t>2026-09-29</t>
        </is>
      </c>
      <c r="B801" t="inlineStr">
        <is>
          <t>Tue</t>
        </is>
      </c>
      <c r="C801" t="inlineStr">
        <is>
          <t>Farming</t>
        </is>
      </c>
      <c r="D801" t="inlineStr">
        <is>
          <t>Marcelo</t>
        </is>
      </c>
      <c r="E801" t="n">
        <v>2</v>
      </c>
      <c r="F801" t="inlineStr">
        <is>
          <t>15:00-22:00</t>
        </is>
      </c>
      <c r="H801" t="inlineStr">
        <is>
          <t>ELMORE &amp; DD</t>
        </is>
      </c>
    </row>
    <row r="802">
      <c r="A802" t="inlineStr">
        <is>
          <t>2026-09-29</t>
        </is>
      </c>
      <c r="B802" t="inlineStr">
        <is>
          <t>Tue</t>
        </is>
      </c>
      <c r="C802" t="inlineStr">
        <is>
          <t>Farming</t>
        </is>
      </c>
      <c r="D802" t="inlineStr">
        <is>
          <t>Marcelo</t>
        </is>
      </c>
      <c r="E802" t="n">
        <v>3</v>
      </c>
      <c r="F802" t="inlineStr">
        <is>
          <t>22:00-04:00</t>
        </is>
      </c>
      <c r="H802" t="inlineStr">
        <is>
          <t>Elmore</t>
        </is>
      </c>
    </row>
    <row r="803">
      <c r="A803" t="inlineStr">
        <is>
          <t>2026-09-29</t>
        </is>
      </c>
      <c r="B803" t="inlineStr">
        <is>
          <t>Tue</t>
        </is>
      </c>
      <c r="C803" t="inlineStr">
        <is>
          <t>Farming</t>
        </is>
      </c>
      <c r="D803" t="inlineStr">
        <is>
          <t>OldBlood</t>
        </is>
      </c>
      <c r="E803" t="n">
        <v>1</v>
      </c>
      <c r="F803" t="inlineStr">
        <is>
          <t>OFF</t>
        </is>
      </c>
    </row>
    <row r="804">
      <c r="A804" t="inlineStr">
        <is>
          <t>2026-09-29</t>
        </is>
      </c>
      <c r="B804" t="inlineStr">
        <is>
          <t>Tue</t>
        </is>
      </c>
      <c r="C804" t="inlineStr">
        <is>
          <t>Farming</t>
        </is>
      </c>
      <c r="D804" t="inlineStr">
        <is>
          <t>Pele</t>
        </is>
      </c>
      <c r="E804" t="n">
        <v>1</v>
      </c>
      <c r="F804" t="inlineStr">
        <is>
          <t>08:00-15:00</t>
        </is>
      </c>
    </row>
    <row r="805">
      <c r="A805" t="inlineStr">
        <is>
          <t>2026-09-29</t>
        </is>
      </c>
      <c r="B805" t="inlineStr">
        <is>
          <t>Tue</t>
        </is>
      </c>
      <c r="C805" t="inlineStr">
        <is>
          <t>Farming</t>
        </is>
      </c>
      <c r="D805" t="inlineStr">
        <is>
          <t>Pele</t>
        </is>
      </c>
      <c r="E805" t="n">
        <v>2</v>
      </c>
      <c r="F805" t="inlineStr">
        <is>
          <t>15:00-22:00</t>
        </is>
      </c>
      <c r="H805" t="inlineStr">
        <is>
          <t>ANT &amp; ELMORE</t>
        </is>
      </c>
    </row>
    <row r="806">
      <c r="A806" t="inlineStr">
        <is>
          <t>2026-09-29</t>
        </is>
      </c>
      <c r="B806" t="inlineStr">
        <is>
          <t>Tue</t>
        </is>
      </c>
      <c r="C806" t="inlineStr">
        <is>
          <t>Farming</t>
        </is>
      </c>
      <c r="D806" t="inlineStr">
        <is>
          <t>Pele</t>
        </is>
      </c>
      <c r="E806" t="n">
        <v>3</v>
      </c>
      <c r="F806" t="inlineStr">
        <is>
          <t>22:00-04:00</t>
        </is>
      </c>
      <c r="H806" t="inlineStr">
        <is>
          <t>ELMORE</t>
        </is>
      </c>
    </row>
    <row r="807">
      <c r="A807" t="inlineStr">
        <is>
          <t>2026-09-29</t>
        </is>
      </c>
      <c r="B807" t="inlineStr">
        <is>
          <t>Tue</t>
        </is>
      </c>
      <c r="C807" t="inlineStr">
        <is>
          <t>Farming</t>
        </is>
      </c>
      <c r="D807" t="inlineStr">
        <is>
          <t>Ronaldo</t>
        </is>
      </c>
      <c r="E807" t="n">
        <v>1</v>
      </c>
      <c r="F807" t="inlineStr">
        <is>
          <t>08:00-15:00</t>
        </is>
      </c>
    </row>
    <row r="808">
      <c r="A808" t="inlineStr">
        <is>
          <t>2026-09-29</t>
        </is>
      </c>
      <c r="B808" t="inlineStr">
        <is>
          <t>Tue</t>
        </is>
      </c>
      <c r="C808" t="inlineStr">
        <is>
          <t>Farming</t>
        </is>
      </c>
      <c r="D808" t="inlineStr">
        <is>
          <t>Ronaldo</t>
        </is>
      </c>
      <c r="E808" t="n">
        <v>2</v>
      </c>
      <c r="F808" t="inlineStr">
        <is>
          <t>15:00-22:00</t>
        </is>
      </c>
      <c r="H808" t="inlineStr">
        <is>
          <t>Ivory Tower 4~5</t>
        </is>
      </c>
    </row>
    <row r="809">
      <c r="A809" t="inlineStr">
        <is>
          <t>2026-09-29</t>
        </is>
      </c>
      <c r="B809" t="inlineStr">
        <is>
          <t>Tue</t>
        </is>
      </c>
      <c r="C809" t="inlineStr">
        <is>
          <t>Farming</t>
        </is>
      </c>
      <c r="D809" t="inlineStr">
        <is>
          <t>Ronaldo</t>
        </is>
      </c>
      <c r="E809" t="n">
        <v>3</v>
      </c>
      <c r="F809" t="inlineStr">
        <is>
          <t>22:00-04:00</t>
        </is>
      </c>
      <c r="H809" t="inlineStr">
        <is>
          <t>Ivory flr4&amp;5</t>
        </is>
      </c>
    </row>
    <row r="810">
      <c r="A810" t="inlineStr">
        <is>
          <t>2026-09-29</t>
        </is>
      </c>
      <c r="B810" t="inlineStr">
        <is>
          <t>Tue</t>
        </is>
      </c>
      <c r="C810" t="inlineStr">
        <is>
          <t>Farming</t>
        </is>
      </c>
      <c r="D810" t="inlineStr">
        <is>
          <t>Sarim</t>
        </is>
      </c>
      <c r="E810" t="n">
        <v>1</v>
      </c>
      <c r="F810" t="inlineStr">
        <is>
          <t>08:00-15:00</t>
        </is>
      </c>
    </row>
    <row r="811">
      <c r="A811" t="inlineStr">
        <is>
          <t>2026-09-29</t>
        </is>
      </c>
      <c r="B811" t="inlineStr">
        <is>
          <t>Tue</t>
        </is>
      </c>
      <c r="C811" t="inlineStr">
        <is>
          <t>Farming</t>
        </is>
      </c>
      <c r="D811" t="inlineStr">
        <is>
          <t>Sarim</t>
        </is>
      </c>
      <c r="E811" t="n">
        <v>2</v>
      </c>
      <c r="F811" t="inlineStr">
        <is>
          <t>15:00-22:00</t>
        </is>
      </c>
      <c r="H811" t="inlineStr">
        <is>
          <t>ELMORE &amp; DD</t>
        </is>
      </c>
    </row>
    <row r="812">
      <c r="A812" t="inlineStr">
        <is>
          <t>2026-09-29</t>
        </is>
      </c>
      <c r="B812" t="inlineStr">
        <is>
          <t>Tue</t>
        </is>
      </c>
      <c r="C812" t="inlineStr">
        <is>
          <t>Farming</t>
        </is>
      </c>
      <c r="D812" t="inlineStr">
        <is>
          <t>Sarim</t>
        </is>
      </c>
      <c r="E812" t="n">
        <v>3</v>
      </c>
      <c r="F812" t="inlineStr">
        <is>
          <t>22:00-04:00</t>
        </is>
      </c>
      <c r="H812" t="inlineStr">
        <is>
          <t>Elmore</t>
        </is>
      </c>
    </row>
    <row r="813">
      <c r="A813" t="inlineStr">
        <is>
          <t>2026-09-29</t>
        </is>
      </c>
      <c r="B813" t="inlineStr">
        <is>
          <t>Tue</t>
        </is>
      </c>
      <c r="C813" t="inlineStr">
        <is>
          <t>Farming</t>
        </is>
      </c>
      <c r="D813" t="inlineStr">
        <is>
          <t>Sinsang</t>
        </is>
      </c>
      <c r="E813" t="n">
        <v>1</v>
      </c>
      <c r="F813" t="inlineStr">
        <is>
          <t>22:00-04:00</t>
        </is>
      </c>
      <c r="H813" t="inlineStr">
        <is>
          <t>Corrrupted Land</t>
        </is>
      </c>
    </row>
    <row r="814">
      <c r="A814" t="inlineStr">
        <is>
          <t>2026-09-29</t>
        </is>
      </c>
      <c r="B814" t="inlineStr">
        <is>
          <t>Tue</t>
        </is>
      </c>
      <c r="C814" t="inlineStr">
        <is>
          <t>Farming</t>
        </is>
      </c>
      <c r="D814" t="inlineStr">
        <is>
          <t>Sudden</t>
        </is>
      </c>
      <c r="E814" t="n">
        <v>1</v>
      </c>
      <c r="F814" t="inlineStr">
        <is>
          <t>08:00-15:00</t>
        </is>
      </c>
    </row>
    <row r="815">
      <c r="A815" t="inlineStr">
        <is>
          <t>2026-09-29</t>
        </is>
      </c>
      <c r="B815" t="inlineStr">
        <is>
          <t>Tue</t>
        </is>
      </c>
      <c r="C815" t="inlineStr">
        <is>
          <t>Farming</t>
        </is>
      </c>
      <c r="D815" t="inlineStr">
        <is>
          <t>Sudden</t>
        </is>
      </c>
      <c r="E815" t="n">
        <v>2</v>
      </c>
      <c r="F815" t="inlineStr">
        <is>
          <t>15:00-22:00</t>
        </is>
      </c>
      <c r="H815" t="inlineStr">
        <is>
          <t>ELMORE &amp; DD</t>
        </is>
      </c>
    </row>
    <row r="816">
      <c r="A816" t="inlineStr">
        <is>
          <t>2026-09-29</t>
        </is>
      </c>
      <c r="B816" t="inlineStr">
        <is>
          <t>Tue</t>
        </is>
      </c>
      <c r="C816" t="inlineStr">
        <is>
          <t>Farming</t>
        </is>
      </c>
      <c r="D816" t="inlineStr">
        <is>
          <t>Sudden</t>
        </is>
      </c>
      <c r="E816" t="n">
        <v>3</v>
      </c>
      <c r="F816" t="inlineStr">
        <is>
          <t>22:00-04:00</t>
        </is>
      </c>
      <c r="H816" t="inlineStr">
        <is>
          <t>Elmore</t>
        </is>
      </c>
    </row>
    <row r="817">
      <c r="A817" t="inlineStr">
        <is>
          <t>2026-09-29</t>
        </is>
      </c>
      <c r="B817" t="inlineStr">
        <is>
          <t>Tue</t>
        </is>
      </c>
      <c r="C817" t="inlineStr">
        <is>
          <t>Farming</t>
        </is>
      </c>
      <c r="D817" t="inlineStr">
        <is>
          <t>Sunsang</t>
        </is>
      </c>
      <c r="E817" t="n">
        <v>1</v>
      </c>
      <c r="F817" t="inlineStr">
        <is>
          <t>OFF</t>
        </is>
      </c>
    </row>
    <row r="818">
      <c r="A818" t="inlineStr">
        <is>
          <t>2026-09-29</t>
        </is>
      </c>
      <c r="B818" t="inlineStr">
        <is>
          <t>Tue</t>
        </is>
      </c>
      <c r="C818" t="inlineStr">
        <is>
          <t>Farming</t>
        </is>
      </c>
      <c r="D818" t="inlineStr">
        <is>
          <t>Sunsang</t>
        </is>
      </c>
      <c r="E818" t="n">
        <v>2</v>
      </c>
      <c r="F818" t="inlineStr">
        <is>
          <t>14:00-16:30</t>
        </is>
      </c>
    </row>
    <row r="819">
      <c r="A819" t="inlineStr">
        <is>
          <t>2026-09-29</t>
        </is>
      </c>
      <c r="B819" t="inlineStr">
        <is>
          <t>Tue</t>
        </is>
      </c>
      <c r="C819" t="inlineStr">
        <is>
          <t>Farming</t>
        </is>
      </c>
      <c r="D819" t="inlineStr">
        <is>
          <t>Taejo</t>
        </is>
      </c>
      <c r="E819" t="n">
        <v>1</v>
      </c>
      <c r="F819" t="inlineStr">
        <is>
          <t>08:00-15:00</t>
        </is>
      </c>
    </row>
    <row r="820">
      <c r="A820" t="inlineStr">
        <is>
          <t>2026-09-29</t>
        </is>
      </c>
      <c r="B820" t="inlineStr">
        <is>
          <t>Tue</t>
        </is>
      </c>
      <c r="C820" t="inlineStr">
        <is>
          <t>Farming</t>
        </is>
      </c>
      <c r="D820" t="inlineStr">
        <is>
          <t>Taejo</t>
        </is>
      </c>
      <c r="E820" t="n">
        <v>2</v>
      </c>
      <c r="F820" t="inlineStr">
        <is>
          <t>15:00-22:00</t>
        </is>
      </c>
      <c r="H820" t="inlineStr">
        <is>
          <t>ELMORE &amp; DD</t>
        </is>
      </c>
    </row>
    <row r="821">
      <c r="A821" t="inlineStr">
        <is>
          <t>2026-09-29</t>
        </is>
      </c>
      <c r="B821" t="inlineStr">
        <is>
          <t>Tue</t>
        </is>
      </c>
      <c r="C821" t="inlineStr">
        <is>
          <t>Farming</t>
        </is>
      </c>
      <c r="D821" t="inlineStr">
        <is>
          <t>Taejo</t>
        </is>
      </c>
      <c r="E821" t="n">
        <v>3</v>
      </c>
      <c r="F821" t="inlineStr">
        <is>
          <t>22:00-04:00</t>
        </is>
      </c>
      <c r="H821" t="inlineStr">
        <is>
          <t>Elmore</t>
        </is>
      </c>
    </row>
    <row r="822">
      <c r="A822" t="inlineStr">
        <is>
          <t>2026-09-30</t>
        </is>
      </c>
      <c r="B822" t="inlineStr">
        <is>
          <t>Wed</t>
        </is>
      </c>
      <c r="C822" t="inlineStr">
        <is>
          <t>Client</t>
        </is>
      </c>
      <c r="D822" t="inlineStr">
        <is>
          <t>ADA</t>
        </is>
      </c>
      <c r="E822" t="n">
        <v>1</v>
      </c>
      <c r="F822" t="inlineStr">
        <is>
          <t>09:00-17:00</t>
        </is>
      </c>
    </row>
    <row r="823">
      <c r="A823" t="inlineStr">
        <is>
          <t>2026-09-30</t>
        </is>
      </c>
      <c r="B823" t="inlineStr">
        <is>
          <t>Wed</t>
        </is>
      </c>
      <c r="C823" t="inlineStr">
        <is>
          <t>Client</t>
        </is>
      </c>
      <c r="D823" t="inlineStr">
        <is>
          <t>ADA</t>
        </is>
      </c>
      <c r="E823" t="n">
        <v>2</v>
      </c>
      <c r="F823" t="inlineStr">
        <is>
          <t>04:00-10:00</t>
        </is>
      </c>
      <c r="H823" t="inlineStr">
        <is>
          <t>Ivory Tower</t>
        </is>
      </c>
    </row>
    <row r="824">
      <c r="A824" t="inlineStr">
        <is>
          <t>2026-09-30</t>
        </is>
      </c>
      <c r="B824" t="inlineStr">
        <is>
          <t>Wed</t>
        </is>
      </c>
      <c r="C824" t="inlineStr">
        <is>
          <t>Client</t>
        </is>
      </c>
      <c r="D824" t="inlineStr">
        <is>
          <t>Alex</t>
        </is>
      </c>
      <c r="E824" t="n">
        <v>1</v>
      </c>
      <c r="F824" t="inlineStr">
        <is>
          <t>10:00-15:00</t>
        </is>
      </c>
      <c r="H824" t="inlineStr">
        <is>
          <t>Ivory Tower 4~5</t>
        </is>
      </c>
    </row>
    <row r="825">
      <c r="A825" t="inlineStr">
        <is>
          <t>2026-09-30</t>
        </is>
      </c>
      <c r="B825" t="inlineStr">
        <is>
          <t>Wed</t>
        </is>
      </c>
      <c r="C825" t="inlineStr">
        <is>
          <t>Client</t>
        </is>
      </c>
      <c r="D825" t="inlineStr">
        <is>
          <t>Alex</t>
        </is>
      </c>
      <c r="E825" t="n">
        <v>2</v>
      </c>
      <c r="F825" t="inlineStr">
        <is>
          <t>16:00-24:00</t>
        </is>
      </c>
      <c r="H825" t="inlineStr">
        <is>
          <t>Ivory Tower 6~7</t>
        </is>
      </c>
    </row>
    <row r="826">
      <c r="A826" t="inlineStr">
        <is>
          <t>2026-09-30</t>
        </is>
      </c>
      <c r="B826" t="inlineStr">
        <is>
          <t>Wed</t>
        </is>
      </c>
      <c r="C826" t="inlineStr">
        <is>
          <t>Client</t>
        </is>
      </c>
      <c r="D826" t="inlineStr">
        <is>
          <t>Alex</t>
        </is>
      </c>
      <c r="E826" t="n">
        <v>3</v>
      </c>
      <c r="F826" t="inlineStr">
        <is>
          <t>24:00-08:00</t>
        </is>
      </c>
      <c r="H826" t="inlineStr">
        <is>
          <t>Ivory Tower 4~5</t>
        </is>
      </c>
    </row>
    <row r="827">
      <c r="A827" t="inlineStr">
        <is>
          <t>2026-09-30</t>
        </is>
      </c>
      <c r="B827" t="inlineStr">
        <is>
          <t>Wed</t>
        </is>
      </c>
      <c r="C827" t="inlineStr">
        <is>
          <t>Client</t>
        </is>
      </c>
      <c r="D827" t="inlineStr">
        <is>
          <t>Beongaebul</t>
        </is>
      </c>
      <c r="E827" t="n">
        <v>1</v>
      </c>
      <c r="F827" t="inlineStr">
        <is>
          <t>01:00-09:00</t>
        </is>
      </c>
      <c r="H827" t="inlineStr">
        <is>
          <t>Abandoned Land</t>
        </is>
      </c>
    </row>
    <row r="828">
      <c r="A828" t="inlineStr">
        <is>
          <t>2026-09-30</t>
        </is>
      </c>
      <c r="B828" t="inlineStr">
        <is>
          <t>Wed</t>
        </is>
      </c>
      <c r="C828" t="inlineStr">
        <is>
          <t>Client</t>
        </is>
      </c>
      <c r="D828" t="inlineStr">
        <is>
          <t>Captain</t>
        </is>
      </c>
      <c r="E828" t="n">
        <v>1</v>
      </c>
      <c r="F828" t="inlineStr">
        <is>
          <t>OFF</t>
        </is>
      </c>
    </row>
    <row r="829">
      <c r="A829" t="inlineStr">
        <is>
          <t>2026-09-30</t>
        </is>
      </c>
      <c r="B829" t="inlineStr">
        <is>
          <t>Wed</t>
        </is>
      </c>
      <c r="C829" t="inlineStr">
        <is>
          <t>Client</t>
        </is>
      </c>
      <c r="D829" t="inlineStr">
        <is>
          <t>Captain</t>
        </is>
      </c>
      <c r="E829" t="n">
        <v>2</v>
      </c>
      <c r="F829" t="inlineStr">
        <is>
          <t>OFF</t>
        </is>
      </c>
    </row>
    <row r="830">
      <c r="A830" t="inlineStr">
        <is>
          <t>2026-09-30</t>
        </is>
      </c>
      <c r="B830" t="inlineStr">
        <is>
          <t>Wed</t>
        </is>
      </c>
      <c r="C830" t="inlineStr">
        <is>
          <t>Client</t>
        </is>
      </c>
      <c r="D830" t="inlineStr">
        <is>
          <t>Dalo</t>
        </is>
      </c>
      <c r="E830" t="n">
        <v>1</v>
      </c>
      <c r="F830" t="inlineStr">
        <is>
          <t>OFF</t>
        </is>
      </c>
    </row>
    <row r="831">
      <c r="A831" t="inlineStr">
        <is>
          <t>2026-09-30</t>
        </is>
      </c>
      <c r="B831" t="inlineStr">
        <is>
          <t>Wed</t>
        </is>
      </c>
      <c r="C831" t="inlineStr">
        <is>
          <t>Client</t>
        </is>
      </c>
      <c r="D831" t="inlineStr">
        <is>
          <t>Dalo</t>
        </is>
      </c>
      <c r="E831" t="n">
        <v>2</v>
      </c>
      <c r="F831" t="inlineStr">
        <is>
          <t>OFF</t>
        </is>
      </c>
    </row>
    <row r="832">
      <c r="A832" t="inlineStr">
        <is>
          <t>2026-09-30</t>
        </is>
      </c>
      <c r="B832" t="inlineStr">
        <is>
          <t>Wed</t>
        </is>
      </c>
      <c r="C832" t="inlineStr">
        <is>
          <t>Client</t>
        </is>
      </c>
      <c r="D832" t="inlineStr">
        <is>
          <t>Dalo</t>
        </is>
      </c>
      <c r="E832" t="n">
        <v>3</v>
      </c>
      <c r="F832" t="inlineStr">
        <is>
          <t>OFF</t>
        </is>
      </c>
    </row>
    <row r="833">
      <c r="A833" t="inlineStr">
        <is>
          <t>2026-09-30</t>
        </is>
      </c>
      <c r="B833" t="inlineStr">
        <is>
          <t>Wed</t>
        </is>
      </c>
      <c r="C833" t="inlineStr">
        <is>
          <t>Client</t>
        </is>
      </c>
      <c r="D833" t="inlineStr">
        <is>
          <t>Dodam</t>
        </is>
      </c>
      <c r="E833" t="n">
        <v>1</v>
      </c>
      <c r="F833" t="inlineStr">
        <is>
          <t>23:00-11:00</t>
        </is>
      </c>
      <c r="H833" t="inlineStr">
        <is>
          <t>Island of Dreams</t>
        </is>
      </c>
    </row>
    <row r="834">
      <c r="A834" t="inlineStr">
        <is>
          <t>2026-09-30</t>
        </is>
      </c>
      <c r="B834" t="inlineStr">
        <is>
          <t>Wed</t>
        </is>
      </c>
      <c r="C834" t="inlineStr">
        <is>
          <t>Client</t>
        </is>
      </c>
      <c r="D834" t="inlineStr">
        <is>
          <t>Dodam</t>
        </is>
      </c>
      <c r="E834" t="n">
        <v>2</v>
      </c>
      <c r="F834" t="inlineStr">
        <is>
          <t>07:00-19:00</t>
        </is>
      </c>
    </row>
    <row r="835">
      <c r="A835" t="inlineStr">
        <is>
          <t>2026-09-30</t>
        </is>
      </c>
      <c r="B835" t="inlineStr">
        <is>
          <t>Wed</t>
        </is>
      </c>
      <c r="C835" t="inlineStr">
        <is>
          <t>Client</t>
        </is>
      </c>
      <c r="D835" t="inlineStr">
        <is>
          <t>Dol</t>
        </is>
      </c>
      <c r="E835" t="n">
        <v>1</v>
      </c>
      <c r="F835" t="inlineStr">
        <is>
          <t>24:00-08:00</t>
        </is>
      </c>
      <c r="H835" t="inlineStr">
        <is>
          <t>Dragon Valley</t>
        </is>
      </c>
    </row>
    <row r="836">
      <c r="A836" t="inlineStr">
        <is>
          <t>2026-09-30</t>
        </is>
      </c>
      <c r="B836" t="inlineStr">
        <is>
          <t>Wed</t>
        </is>
      </c>
      <c r="C836" t="inlineStr">
        <is>
          <t>Client</t>
        </is>
      </c>
      <c r="D836" t="inlineStr">
        <is>
          <t>Dol</t>
        </is>
      </c>
      <c r="E836" t="n">
        <v>2</v>
      </c>
      <c r="F836" t="inlineStr">
        <is>
          <t>17:00-24:00</t>
        </is>
      </c>
      <c r="H836" t="inlineStr">
        <is>
          <t>AL</t>
        </is>
      </c>
    </row>
    <row r="837">
      <c r="A837" t="inlineStr">
        <is>
          <t>2026-09-30</t>
        </is>
      </c>
      <c r="B837" t="inlineStr">
        <is>
          <t>Wed</t>
        </is>
      </c>
      <c r="C837" t="inlineStr">
        <is>
          <t>Client</t>
        </is>
      </c>
      <c r="D837" t="inlineStr">
        <is>
          <t>Doma</t>
        </is>
      </c>
      <c r="E837" t="n">
        <v>1</v>
      </c>
      <c r="F837" t="inlineStr">
        <is>
          <t>09:00-14:00</t>
        </is>
      </c>
      <c r="H837" t="inlineStr">
        <is>
          <t>Ivory Tower</t>
        </is>
      </c>
    </row>
    <row r="838">
      <c r="A838" t="inlineStr">
        <is>
          <t>2026-09-30</t>
        </is>
      </c>
      <c r="B838" t="inlineStr">
        <is>
          <t>Wed</t>
        </is>
      </c>
      <c r="C838" t="inlineStr">
        <is>
          <t>Client</t>
        </is>
      </c>
      <c r="D838" t="inlineStr">
        <is>
          <t>Doma</t>
        </is>
      </c>
      <c r="E838" t="n">
        <v>2</v>
      </c>
      <c r="F838" t="inlineStr">
        <is>
          <t>23:00-07:00</t>
        </is>
      </c>
      <c r="H838" t="inlineStr">
        <is>
          <t>Ivory Tower</t>
        </is>
      </c>
    </row>
    <row r="839">
      <c r="A839" t="inlineStr">
        <is>
          <t>2026-09-30</t>
        </is>
      </c>
      <c r="B839" t="inlineStr">
        <is>
          <t>Wed</t>
        </is>
      </c>
      <c r="C839" t="inlineStr">
        <is>
          <t>Client</t>
        </is>
      </c>
      <c r="D839" t="inlineStr">
        <is>
          <t>Duga</t>
        </is>
      </c>
      <c r="E839" t="n">
        <v>1</v>
      </c>
      <c r="F839" t="inlineStr">
        <is>
          <t>09:00-17:00</t>
        </is>
      </c>
      <c r="H839" t="inlineStr">
        <is>
          <t>Oman/ Ivory Tower</t>
        </is>
      </c>
    </row>
    <row r="840">
      <c r="A840" t="inlineStr">
        <is>
          <t>2026-09-30</t>
        </is>
      </c>
      <c r="B840" t="inlineStr">
        <is>
          <t>Wed</t>
        </is>
      </c>
      <c r="C840" t="inlineStr">
        <is>
          <t>Client</t>
        </is>
      </c>
      <c r="D840" t="inlineStr">
        <is>
          <t>Elf</t>
        </is>
      </c>
      <c r="E840" t="n">
        <v>1</v>
      </c>
      <c r="F840" t="inlineStr">
        <is>
          <t>OFF</t>
        </is>
      </c>
    </row>
    <row r="841">
      <c r="A841" t="inlineStr">
        <is>
          <t>2026-09-30</t>
        </is>
      </c>
      <c r="B841" t="inlineStr">
        <is>
          <t>Wed</t>
        </is>
      </c>
      <c r="C841" t="inlineStr">
        <is>
          <t>Client</t>
        </is>
      </c>
      <c r="D841" t="inlineStr">
        <is>
          <t>Geonbae</t>
        </is>
      </c>
      <c r="E841" t="n">
        <v>1</v>
      </c>
      <c r="F841" t="inlineStr">
        <is>
          <t>10:30-13:30</t>
        </is>
      </c>
      <c r="H841" t="inlineStr">
        <is>
          <t>Island of Dreams</t>
        </is>
      </c>
    </row>
    <row r="842">
      <c r="A842" t="inlineStr">
        <is>
          <t>2026-09-30</t>
        </is>
      </c>
      <c r="B842" t="inlineStr">
        <is>
          <t>Wed</t>
        </is>
      </c>
      <c r="C842" t="inlineStr">
        <is>
          <t>Client</t>
        </is>
      </c>
      <c r="D842" t="inlineStr">
        <is>
          <t>Geonbae</t>
        </is>
      </c>
      <c r="E842" t="n">
        <v>2</v>
      </c>
      <c r="F842" t="inlineStr">
        <is>
          <t>23:00-07:00</t>
        </is>
      </c>
      <c r="H842" t="inlineStr">
        <is>
          <t>Ivory Tower</t>
        </is>
      </c>
    </row>
    <row r="843">
      <c r="A843" t="inlineStr">
        <is>
          <t>2026-09-30</t>
        </is>
      </c>
      <c r="B843" t="inlineStr">
        <is>
          <t>Wed</t>
        </is>
      </c>
      <c r="C843" t="inlineStr">
        <is>
          <t>Client</t>
        </is>
      </c>
      <c r="D843" t="inlineStr">
        <is>
          <t>Goop</t>
        </is>
      </c>
      <c r="E843" t="n">
        <v>1</v>
      </c>
      <c r="F843" t="inlineStr">
        <is>
          <t>OFF</t>
        </is>
      </c>
    </row>
    <row r="844">
      <c r="A844" t="inlineStr">
        <is>
          <t>2026-09-30</t>
        </is>
      </c>
      <c r="B844" t="inlineStr">
        <is>
          <t>Wed</t>
        </is>
      </c>
      <c r="C844" t="inlineStr">
        <is>
          <t>Client</t>
        </is>
      </c>
      <c r="D844" t="inlineStr">
        <is>
          <t>Heon</t>
        </is>
      </c>
      <c r="E844" t="n">
        <v>1</v>
      </c>
      <c r="F844" t="inlineStr">
        <is>
          <t>OFF</t>
        </is>
      </c>
      <c r="H844" t="inlineStr">
        <is>
          <t>Abandoned Land (Abyss) 6
ivory tower 2</t>
        </is>
      </c>
    </row>
    <row r="845">
      <c r="A845" t="inlineStr">
        <is>
          <t>2026-09-30</t>
        </is>
      </c>
      <c r="B845" t="inlineStr">
        <is>
          <t>Wed</t>
        </is>
      </c>
      <c r="C845" t="inlineStr">
        <is>
          <t>Client</t>
        </is>
      </c>
      <c r="D845" t="inlineStr">
        <is>
          <t>Jjuni</t>
        </is>
      </c>
      <c r="E845" t="n">
        <v>1</v>
      </c>
      <c r="F845" t="inlineStr">
        <is>
          <t>14:00-21:00</t>
        </is>
      </c>
      <c r="H845" t="inlineStr">
        <is>
          <t>Ivory Tower</t>
        </is>
      </c>
    </row>
    <row r="846">
      <c r="A846" t="inlineStr">
        <is>
          <t>2026-09-30</t>
        </is>
      </c>
      <c r="B846" t="inlineStr">
        <is>
          <t>Wed</t>
        </is>
      </c>
      <c r="C846" t="inlineStr">
        <is>
          <t>Client</t>
        </is>
      </c>
      <c r="D846" t="inlineStr">
        <is>
          <t>Jjuni</t>
        </is>
      </c>
      <c r="E846" t="n">
        <v>2</v>
      </c>
      <c r="F846" t="inlineStr">
        <is>
          <t>OFF</t>
        </is>
      </c>
    </row>
    <row r="847">
      <c r="A847" t="inlineStr">
        <is>
          <t>2026-09-30</t>
        </is>
      </c>
      <c r="B847" t="inlineStr">
        <is>
          <t>Wed</t>
        </is>
      </c>
      <c r="C847" t="inlineStr">
        <is>
          <t>Client</t>
        </is>
      </c>
      <c r="D847" t="inlineStr">
        <is>
          <t>Jjuni</t>
        </is>
      </c>
      <c r="E847" t="n">
        <v>3</v>
      </c>
      <c r="F847" t="inlineStr">
        <is>
          <t>OFF</t>
        </is>
      </c>
      <c r="H847" t="inlineStr">
        <is>
          <t>Ivory Tower</t>
        </is>
      </c>
    </row>
    <row r="848">
      <c r="A848" t="inlineStr">
        <is>
          <t>2026-09-30</t>
        </is>
      </c>
      <c r="B848" t="inlineStr">
        <is>
          <t>Wed</t>
        </is>
      </c>
      <c r="C848" t="inlineStr">
        <is>
          <t>Client</t>
        </is>
      </c>
      <c r="D848" t="inlineStr">
        <is>
          <t>Jo</t>
        </is>
      </c>
      <c r="E848" t="n">
        <v>1</v>
      </c>
      <c r="F848" t="inlineStr">
        <is>
          <t>OFF</t>
        </is>
      </c>
    </row>
    <row r="849">
      <c r="A849" t="inlineStr">
        <is>
          <t>2026-09-30</t>
        </is>
      </c>
      <c r="B849" t="inlineStr">
        <is>
          <t>Wed</t>
        </is>
      </c>
      <c r="C849" t="inlineStr">
        <is>
          <t>Client</t>
        </is>
      </c>
      <c r="D849" t="inlineStr">
        <is>
          <t>Lammy Queen</t>
        </is>
      </c>
      <c r="E849" t="n">
        <v>1</v>
      </c>
      <c r="F849" t="inlineStr">
        <is>
          <t>OFF</t>
        </is>
      </c>
      <c r="H849" t="inlineStr">
        <is>
          <t>Ivory Tower</t>
        </is>
      </c>
    </row>
    <row r="850">
      <c r="A850" t="inlineStr">
        <is>
          <t>2026-09-30</t>
        </is>
      </c>
      <c r="B850" t="inlineStr">
        <is>
          <t>Wed</t>
        </is>
      </c>
      <c r="C850" t="inlineStr">
        <is>
          <t>Client</t>
        </is>
      </c>
      <c r="D850" t="inlineStr">
        <is>
          <t>Lammy Queen</t>
        </is>
      </c>
      <c r="E850" t="n">
        <v>2</v>
      </c>
      <c r="F850" t="inlineStr">
        <is>
          <t>01:00-09:00</t>
        </is>
      </c>
      <c r="H850" t="inlineStr">
        <is>
          <t>Abandon Land</t>
        </is>
      </c>
    </row>
    <row r="851">
      <c r="A851" t="inlineStr">
        <is>
          <t>2026-09-30</t>
        </is>
      </c>
      <c r="B851" t="inlineStr">
        <is>
          <t>Wed</t>
        </is>
      </c>
      <c r="C851" t="inlineStr">
        <is>
          <t>Client</t>
        </is>
      </c>
      <c r="D851" t="inlineStr">
        <is>
          <t>Lolly</t>
        </is>
      </c>
      <c r="E851" t="n">
        <v>1</v>
      </c>
      <c r="F851" t="inlineStr">
        <is>
          <t>09:00-19:00</t>
        </is>
      </c>
      <c r="H851" t="inlineStr">
        <is>
          <t>abandoned land 3
a land of corruption5</t>
        </is>
      </c>
    </row>
    <row r="852">
      <c r="A852" t="inlineStr">
        <is>
          <t>2026-09-30</t>
        </is>
      </c>
      <c r="B852" t="inlineStr">
        <is>
          <t>Wed</t>
        </is>
      </c>
      <c r="C852" t="inlineStr">
        <is>
          <t>Client</t>
        </is>
      </c>
      <c r="D852" t="inlineStr">
        <is>
          <t>Mukkbo</t>
        </is>
      </c>
      <c r="E852" t="n">
        <v>1</v>
      </c>
      <c r="F852" t="inlineStr">
        <is>
          <t>OFF</t>
        </is>
      </c>
    </row>
    <row r="853">
      <c r="A853" t="inlineStr">
        <is>
          <t>2026-09-30</t>
        </is>
      </c>
      <c r="B853" t="inlineStr">
        <is>
          <t>Wed</t>
        </is>
      </c>
      <c r="C853" t="inlineStr">
        <is>
          <t>Client</t>
        </is>
      </c>
      <c r="D853" t="inlineStr">
        <is>
          <t>Mukkbo</t>
        </is>
      </c>
      <c r="E853" t="n">
        <v>2</v>
      </c>
      <c r="F853" t="inlineStr">
        <is>
          <t>OFF</t>
        </is>
      </c>
    </row>
    <row r="854">
      <c r="A854" t="inlineStr">
        <is>
          <t>2026-09-30</t>
        </is>
      </c>
      <c r="B854" t="inlineStr">
        <is>
          <t>Wed</t>
        </is>
      </c>
      <c r="C854" t="inlineStr">
        <is>
          <t>Client</t>
        </is>
      </c>
      <c r="D854" t="inlineStr">
        <is>
          <t>Munjin</t>
        </is>
      </c>
      <c r="E854" t="n">
        <v>1</v>
      </c>
      <c r="F854" t="inlineStr">
        <is>
          <t>OFF</t>
        </is>
      </c>
    </row>
    <row r="855">
      <c r="A855" t="inlineStr">
        <is>
          <t>2026-09-30</t>
        </is>
      </c>
      <c r="B855" t="inlineStr">
        <is>
          <t>Wed</t>
        </is>
      </c>
      <c r="C855" t="inlineStr">
        <is>
          <t>Client</t>
        </is>
      </c>
      <c r="D855" t="inlineStr">
        <is>
          <t>Neburegi</t>
        </is>
      </c>
      <c r="E855" t="n">
        <v>1</v>
      </c>
      <c r="F855" t="inlineStr">
        <is>
          <t>OFF</t>
        </is>
      </c>
    </row>
    <row r="856">
      <c r="A856" t="inlineStr">
        <is>
          <t>2026-09-30</t>
        </is>
      </c>
      <c r="B856" t="inlineStr">
        <is>
          <t>Wed</t>
        </is>
      </c>
      <c r="C856" t="inlineStr">
        <is>
          <t>Client</t>
        </is>
      </c>
      <c r="D856" t="inlineStr">
        <is>
          <t>Olleh</t>
        </is>
      </c>
      <c r="E856" t="n">
        <v>1</v>
      </c>
      <c r="F856" t="inlineStr">
        <is>
          <t>09:00-16:00</t>
        </is>
      </c>
      <c r="H856" t="inlineStr">
        <is>
          <t>Ivory Tower</t>
        </is>
      </c>
    </row>
    <row r="857">
      <c r="A857" t="inlineStr">
        <is>
          <t>2026-09-30</t>
        </is>
      </c>
      <c r="B857" t="inlineStr">
        <is>
          <t>Wed</t>
        </is>
      </c>
      <c r="C857" t="inlineStr">
        <is>
          <t>Client</t>
        </is>
      </c>
      <c r="D857" t="inlineStr">
        <is>
          <t>Olleh</t>
        </is>
      </c>
      <c r="E857" t="n">
        <v>2</v>
      </c>
      <c r="F857" t="inlineStr">
        <is>
          <t>23:00-11:00</t>
        </is>
      </c>
      <c r="H857" t="inlineStr">
        <is>
          <t>Ivory Tower</t>
        </is>
      </c>
    </row>
    <row r="858">
      <c r="A858" t="inlineStr">
        <is>
          <t>2026-09-30</t>
        </is>
      </c>
      <c r="B858" t="inlineStr">
        <is>
          <t>Wed</t>
        </is>
      </c>
      <c r="C858" t="inlineStr">
        <is>
          <t>Client</t>
        </is>
      </c>
      <c r="D858" t="inlineStr">
        <is>
          <t>Perez</t>
        </is>
      </c>
      <c r="E858" t="n">
        <v>1</v>
      </c>
      <c r="F858" t="inlineStr">
        <is>
          <t>08:00-16:00</t>
        </is>
      </c>
    </row>
    <row r="859">
      <c r="A859" t="inlineStr">
        <is>
          <t>2026-09-30</t>
        </is>
      </c>
      <c r="B859" t="inlineStr">
        <is>
          <t>Wed</t>
        </is>
      </c>
      <c r="C859" t="inlineStr">
        <is>
          <t>Client</t>
        </is>
      </c>
      <c r="D859" t="inlineStr">
        <is>
          <t>Perez</t>
        </is>
      </c>
      <c r="E859" t="n">
        <v>2</v>
      </c>
      <c r="F859" t="inlineStr">
        <is>
          <t>OFF</t>
        </is>
      </c>
      <c r="H859" t="inlineStr">
        <is>
          <t>LAND OF FALLEN / SPATOY</t>
        </is>
      </c>
    </row>
    <row r="860">
      <c r="A860" t="inlineStr">
        <is>
          <t>2026-09-30</t>
        </is>
      </c>
      <c r="B860" t="inlineStr">
        <is>
          <t>Wed</t>
        </is>
      </c>
      <c r="C860" t="inlineStr">
        <is>
          <t>Client</t>
        </is>
      </c>
      <c r="D860" t="inlineStr">
        <is>
          <t>Perez</t>
        </is>
      </c>
      <c r="E860" t="n">
        <v>3</v>
      </c>
      <c r="F860" t="inlineStr">
        <is>
          <t>21:00-05:00</t>
        </is>
      </c>
      <c r="H860" t="inlineStr">
        <is>
          <t>Abandon Land</t>
        </is>
      </c>
    </row>
    <row r="861">
      <c r="A861" t="inlineStr">
        <is>
          <t>2026-09-30</t>
        </is>
      </c>
      <c r="B861" t="inlineStr">
        <is>
          <t>Wed</t>
        </is>
      </c>
      <c r="C861" t="inlineStr">
        <is>
          <t>Client</t>
        </is>
      </c>
      <c r="D861" t="inlineStr">
        <is>
          <t>Power20</t>
        </is>
      </c>
      <c r="E861" t="n">
        <v>1</v>
      </c>
      <c r="F861" t="inlineStr">
        <is>
          <t>09:00-20:00</t>
        </is>
      </c>
    </row>
    <row r="862">
      <c r="A862" t="inlineStr">
        <is>
          <t>2026-09-30</t>
        </is>
      </c>
      <c r="B862" t="inlineStr">
        <is>
          <t>Wed</t>
        </is>
      </c>
      <c r="C862" t="inlineStr">
        <is>
          <t>Client</t>
        </is>
      </c>
      <c r="D862" t="inlineStr">
        <is>
          <t>Power20</t>
        </is>
      </c>
      <c r="E862" t="n">
        <v>2</v>
      </c>
      <c r="F862" t="inlineStr">
        <is>
          <t>OFF</t>
        </is>
      </c>
    </row>
    <row r="863">
      <c r="A863" t="inlineStr">
        <is>
          <t>2026-09-30</t>
        </is>
      </c>
      <c r="B863" t="inlineStr">
        <is>
          <t>Wed</t>
        </is>
      </c>
      <c r="C863" t="inlineStr">
        <is>
          <t>Client</t>
        </is>
      </c>
      <c r="D863" t="inlineStr">
        <is>
          <t>Power20</t>
        </is>
      </c>
      <c r="E863" t="n">
        <v>3</v>
      </c>
      <c r="F863" t="inlineStr">
        <is>
          <t>02:00-10:00</t>
        </is>
      </c>
      <c r="H863" t="inlineStr">
        <is>
          <t>Ivory Tower</t>
        </is>
      </c>
    </row>
    <row r="864">
      <c r="A864" t="inlineStr">
        <is>
          <t>2026-09-30</t>
        </is>
      </c>
      <c r="B864" t="inlineStr">
        <is>
          <t>Wed</t>
        </is>
      </c>
      <c r="C864" t="inlineStr">
        <is>
          <t>Client</t>
        </is>
      </c>
      <c r="D864" t="inlineStr">
        <is>
          <t>Real Madrid</t>
        </is>
      </c>
      <c r="E864" t="n">
        <v>1</v>
      </c>
      <c r="F864" t="inlineStr">
        <is>
          <t>24:00-08:00</t>
        </is>
      </c>
      <c r="H864" t="inlineStr">
        <is>
          <t>Ivory Tower</t>
        </is>
      </c>
    </row>
    <row r="865">
      <c r="A865" t="inlineStr">
        <is>
          <t>2026-09-30</t>
        </is>
      </c>
      <c r="B865" t="inlineStr">
        <is>
          <t>Wed</t>
        </is>
      </c>
      <c r="C865" t="inlineStr">
        <is>
          <t>Client</t>
        </is>
      </c>
      <c r="D865" t="inlineStr">
        <is>
          <t>Real Madrid</t>
        </is>
      </c>
      <c r="E865" t="n">
        <v>2</v>
      </c>
      <c r="F865" t="inlineStr">
        <is>
          <t>OFF</t>
        </is>
      </c>
      <c r="H865" t="inlineStr">
        <is>
          <t>Ivory Tower</t>
        </is>
      </c>
    </row>
    <row r="866">
      <c r="A866" t="inlineStr">
        <is>
          <t>2026-09-30</t>
        </is>
      </c>
      <c r="B866" t="inlineStr">
        <is>
          <t>Wed</t>
        </is>
      </c>
      <c r="C866" t="inlineStr">
        <is>
          <t>Client</t>
        </is>
      </c>
      <c r="D866" t="inlineStr">
        <is>
          <t>Real Madrid</t>
        </is>
      </c>
      <c r="E866" t="n">
        <v>3</v>
      </c>
      <c r="F866" t="inlineStr">
        <is>
          <t>OFF</t>
        </is>
      </c>
    </row>
    <row r="867">
      <c r="A867" t="inlineStr">
        <is>
          <t>2026-09-30</t>
        </is>
      </c>
      <c r="B867" t="inlineStr">
        <is>
          <t>Wed</t>
        </is>
      </c>
      <c r="C867" t="inlineStr">
        <is>
          <t>Client</t>
        </is>
      </c>
      <c r="D867" t="inlineStr">
        <is>
          <t>Return</t>
        </is>
      </c>
      <c r="E867" t="n">
        <v>1</v>
      </c>
      <c r="F867" t="inlineStr">
        <is>
          <t>03:00-11:00</t>
        </is>
      </c>
      <c r="H867" t="inlineStr">
        <is>
          <t>Ivory Tower</t>
        </is>
      </c>
    </row>
    <row r="868">
      <c r="A868" t="inlineStr">
        <is>
          <t>2026-09-30</t>
        </is>
      </c>
      <c r="B868" t="inlineStr">
        <is>
          <t>Wed</t>
        </is>
      </c>
      <c r="C868" t="inlineStr">
        <is>
          <t>Client</t>
        </is>
      </c>
      <c r="D868" t="inlineStr">
        <is>
          <t>Road</t>
        </is>
      </c>
      <c r="E868" t="n">
        <v>1</v>
      </c>
      <c r="F868" t="inlineStr">
        <is>
          <t>OFF</t>
        </is>
      </c>
    </row>
    <row r="869">
      <c r="A869" t="inlineStr">
        <is>
          <t>2026-09-30</t>
        </is>
      </c>
      <c r="B869" t="inlineStr">
        <is>
          <t>Wed</t>
        </is>
      </c>
      <c r="C869" t="inlineStr">
        <is>
          <t>Client</t>
        </is>
      </c>
      <c r="D869" t="inlineStr">
        <is>
          <t>SSEN</t>
        </is>
      </c>
      <c r="E869" t="n">
        <v>1</v>
      </c>
      <c r="F869" t="inlineStr">
        <is>
          <t>09:00-21:00</t>
        </is>
      </c>
    </row>
    <row r="870">
      <c r="A870" t="inlineStr">
        <is>
          <t>2026-09-30</t>
        </is>
      </c>
      <c r="B870" t="inlineStr">
        <is>
          <t>Wed</t>
        </is>
      </c>
      <c r="C870" t="inlineStr">
        <is>
          <t>Client</t>
        </is>
      </c>
      <c r="D870" t="inlineStr">
        <is>
          <t>Tiger</t>
        </is>
      </c>
      <c r="E870" t="n">
        <v>1</v>
      </c>
      <c r="F870" t="inlineStr">
        <is>
          <t>OFF</t>
        </is>
      </c>
    </row>
    <row r="871">
      <c r="A871" t="inlineStr">
        <is>
          <t>2026-09-30</t>
        </is>
      </c>
      <c r="B871" t="inlineStr">
        <is>
          <t>Wed</t>
        </is>
      </c>
      <c r="C871" t="inlineStr">
        <is>
          <t>Client</t>
        </is>
      </c>
      <c r="D871" t="inlineStr">
        <is>
          <t>Tiger</t>
        </is>
      </c>
      <c r="E871" t="n">
        <v>2</v>
      </c>
      <c r="F871" t="inlineStr">
        <is>
          <t>OFF</t>
        </is>
      </c>
      <c r="H871" t="inlineStr">
        <is>
          <t>Ivory Tower</t>
        </is>
      </c>
    </row>
    <row r="872">
      <c r="A872" t="inlineStr">
        <is>
          <t>2026-09-30</t>
        </is>
      </c>
      <c r="B872" t="inlineStr">
        <is>
          <t>Wed</t>
        </is>
      </c>
      <c r="C872" t="inlineStr">
        <is>
          <t>Client</t>
        </is>
      </c>
      <c r="D872" t="inlineStr">
        <is>
          <t>Yeoseo</t>
        </is>
      </c>
      <c r="E872" t="n">
        <v>1</v>
      </c>
      <c r="F872" t="inlineStr">
        <is>
          <t>OFF</t>
        </is>
      </c>
      <c r="H872" t="inlineStr">
        <is>
          <t>abandoned land 3
a land of corruption5</t>
        </is>
      </c>
    </row>
    <row r="873">
      <c r="A873" t="inlineStr">
        <is>
          <t>2026-09-30</t>
        </is>
      </c>
      <c r="B873" t="inlineStr">
        <is>
          <t>Wed</t>
        </is>
      </c>
      <c r="C873" t="inlineStr">
        <is>
          <t>Client</t>
        </is>
      </c>
      <c r="D873" t="inlineStr">
        <is>
          <t>Zombie</t>
        </is>
      </c>
      <c r="E873" t="n">
        <v>1</v>
      </c>
      <c r="F873" t="inlineStr">
        <is>
          <t>OFF</t>
        </is>
      </c>
    </row>
    <row r="874">
      <c r="A874" t="inlineStr">
        <is>
          <t>2026-09-30</t>
        </is>
      </c>
      <c r="B874" t="inlineStr">
        <is>
          <t>Wed</t>
        </is>
      </c>
      <c r="C874" t="inlineStr">
        <is>
          <t>Client</t>
        </is>
      </c>
      <c r="D874" t="inlineStr">
        <is>
          <t>Zombie</t>
        </is>
      </c>
      <c r="E874" t="n">
        <v>2</v>
      </c>
      <c r="F874" t="inlineStr">
        <is>
          <t>OFF</t>
        </is>
      </c>
    </row>
    <row r="875">
      <c r="A875" t="inlineStr">
        <is>
          <t>2026-09-30</t>
        </is>
      </c>
      <c r="B875" t="inlineStr">
        <is>
          <t>Wed</t>
        </is>
      </c>
      <c r="C875" t="inlineStr">
        <is>
          <t>Client</t>
        </is>
      </c>
      <c r="D875" t="inlineStr">
        <is>
          <t>Zombie</t>
        </is>
      </c>
      <c r="E875" t="n">
        <v>3</v>
      </c>
      <c r="F875" t="inlineStr">
        <is>
          <t>OFF</t>
        </is>
      </c>
      <c r="H875" t="inlineStr">
        <is>
          <t>Ivory Tower</t>
        </is>
      </c>
    </row>
    <row r="876">
      <c r="A876" t="inlineStr">
        <is>
          <t>2026-09-30</t>
        </is>
      </c>
      <c r="B876" t="inlineStr">
        <is>
          <t>Wed</t>
        </is>
      </c>
      <c r="C876" t="inlineStr">
        <is>
          <t>Farming</t>
        </is>
      </c>
      <c r="D876" t="inlineStr">
        <is>
          <t>Kangaroo</t>
        </is>
      </c>
      <c r="E876" t="n">
        <v>1</v>
      </c>
      <c r="F876" t="inlineStr">
        <is>
          <t>09:00-16:00</t>
        </is>
      </c>
      <c r="H876" t="inlineStr">
        <is>
          <t>Corrupted Land</t>
        </is>
      </c>
    </row>
    <row r="877">
      <c r="A877" t="inlineStr">
        <is>
          <t>2026-09-30</t>
        </is>
      </c>
      <c r="B877" t="inlineStr">
        <is>
          <t>Wed</t>
        </is>
      </c>
      <c r="C877" t="inlineStr">
        <is>
          <t>Farming</t>
        </is>
      </c>
      <c r="D877" t="inlineStr">
        <is>
          <t>Kangaroo</t>
        </is>
      </c>
      <c r="E877" t="n">
        <v>2</v>
      </c>
      <c r="F877" t="inlineStr">
        <is>
          <t>16:00-24:00</t>
        </is>
      </c>
      <c r="H877" t="inlineStr">
        <is>
          <t>Corrupted Land</t>
        </is>
      </c>
    </row>
    <row r="878">
      <c r="A878" t="inlineStr">
        <is>
          <t>2026-09-30</t>
        </is>
      </c>
      <c r="B878" t="inlineStr">
        <is>
          <t>Wed</t>
        </is>
      </c>
      <c r="C878" t="inlineStr">
        <is>
          <t>Farming</t>
        </is>
      </c>
      <c r="D878" t="inlineStr">
        <is>
          <t>Kangaroo</t>
        </is>
      </c>
      <c r="E878" t="n">
        <v>3</v>
      </c>
      <c r="F878" t="inlineStr">
        <is>
          <t>24:00-08:00</t>
        </is>
      </c>
      <c r="H878" t="inlineStr">
        <is>
          <t>Corrupted Land</t>
        </is>
      </c>
    </row>
    <row r="879">
      <c r="A879" t="inlineStr">
        <is>
          <t>2026-09-30</t>
        </is>
      </c>
      <c r="B879" t="inlineStr">
        <is>
          <t>Wed</t>
        </is>
      </c>
      <c r="C879" t="inlineStr">
        <is>
          <t>Farming</t>
        </is>
      </c>
      <c r="D879" t="inlineStr">
        <is>
          <t>Kyoryu</t>
        </is>
      </c>
      <c r="E879" t="n">
        <v>1</v>
      </c>
      <c r="F879" t="inlineStr">
        <is>
          <t>08:00-16:00</t>
        </is>
      </c>
    </row>
    <row r="880">
      <c r="A880" t="inlineStr">
        <is>
          <t>2026-09-30</t>
        </is>
      </c>
      <c r="B880" t="inlineStr">
        <is>
          <t>Wed</t>
        </is>
      </c>
      <c r="C880" t="inlineStr">
        <is>
          <t>Farming</t>
        </is>
      </c>
      <c r="D880" t="inlineStr">
        <is>
          <t>Kyoryu</t>
        </is>
      </c>
      <c r="E880" t="n">
        <v>2</v>
      </c>
      <c r="F880" t="inlineStr">
        <is>
          <t>16:00-24:00</t>
        </is>
      </c>
      <c r="H880" t="inlineStr">
        <is>
          <t>ELMORE &amp; DD</t>
        </is>
      </c>
    </row>
    <row r="881">
      <c r="A881" t="inlineStr">
        <is>
          <t>2026-09-30</t>
        </is>
      </c>
      <c r="B881" t="inlineStr">
        <is>
          <t>Wed</t>
        </is>
      </c>
      <c r="C881" t="inlineStr">
        <is>
          <t>Farming</t>
        </is>
      </c>
      <c r="D881" t="inlineStr">
        <is>
          <t>Kyoryu</t>
        </is>
      </c>
      <c r="E881" t="n">
        <v>3</v>
      </c>
      <c r="F881" t="inlineStr">
        <is>
          <t>24:00-08:00</t>
        </is>
      </c>
      <c r="H881" t="inlineStr">
        <is>
          <t>Elmore</t>
        </is>
      </c>
    </row>
    <row r="882">
      <c r="A882" t="inlineStr">
        <is>
          <t>2026-09-30</t>
        </is>
      </c>
      <c r="B882" t="inlineStr">
        <is>
          <t>Wed</t>
        </is>
      </c>
      <c r="C882" t="inlineStr">
        <is>
          <t>Farming</t>
        </is>
      </c>
      <c r="D882" t="inlineStr">
        <is>
          <t>Marcelo</t>
        </is>
      </c>
      <c r="E882" t="n">
        <v>1</v>
      </c>
      <c r="F882" t="inlineStr">
        <is>
          <t>08:00-16:00</t>
        </is>
      </c>
    </row>
    <row r="883">
      <c r="A883" t="inlineStr">
        <is>
          <t>2026-09-30</t>
        </is>
      </c>
      <c r="B883" t="inlineStr">
        <is>
          <t>Wed</t>
        </is>
      </c>
      <c r="C883" t="inlineStr">
        <is>
          <t>Farming</t>
        </is>
      </c>
      <c r="D883" t="inlineStr">
        <is>
          <t>Marcelo</t>
        </is>
      </c>
      <c r="E883" t="n">
        <v>2</v>
      </c>
      <c r="F883" t="inlineStr">
        <is>
          <t>16:00-24:00</t>
        </is>
      </c>
      <c r="H883" t="inlineStr">
        <is>
          <t>ELMORE &amp; DD</t>
        </is>
      </c>
    </row>
    <row r="884">
      <c r="A884" t="inlineStr">
        <is>
          <t>2026-09-30</t>
        </is>
      </c>
      <c r="B884" t="inlineStr">
        <is>
          <t>Wed</t>
        </is>
      </c>
      <c r="C884" t="inlineStr">
        <is>
          <t>Farming</t>
        </is>
      </c>
      <c r="D884" t="inlineStr">
        <is>
          <t>Marcelo</t>
        </is>
      </c>
      <c r="E884" t="n">
        <v>3</v>
      </c>
      <c r="F884" t="inlineStr">
        <is>
          <t>24:00-08:00</t>
        </is>
      </c>
      <c r="H884" t="inlineStr">
        <is>
          <t>Elmore</t>
        </is>
      </c>
    </row>
    <row r="885">
      <c r="A885" t="inlineStr">
        <is>
          <t>2026-09-30</t>
        </is>
      </c>
      <c r="B885" t="inlineStr">
        <is>
          <t>Wed</t>
        </is>
      </c>
      <c r="C885" t="inlineStr">
        <is>
          <t>Farming</t>
        </is>
      </c>
      <c r="D885" t="inlineStr">
        <is>
          <t>OldBlood</t>
        </is>
      </c>
      <c r="E885" t="n">
        <v>1</v>
      </c>
      <c r="F885" t="inlineStr">
        <is>
          <t>24:00-08:00</t>
        </is>
      </c>
    </row>
    <row r="886">
      <c r="A886" t="inlineStr">
        <is>
          <t>2026-09-30</t>
        </is>
      </c>
      <c r="B886" t="inlineStr">
        <is>
          <t>Wed</t>
        </is>
      </c>
      <c r="C886" t="inlineStr">
        <is>
          <t>Farming</t>
        </is>
      </c>
      <c r="D886" t="inlineStr">
        <is>
          <t>Pele</t>
        </is>
      </c>
      <c r="E886" t="n">
        <v>1</v>
      </c>
      <c r="F886" t="inlineStr">
        <is>
          <t>08:00-16:00</t>
        </is>
      </c>
    </row>
    <row r="887">
      <c r="A887" t="inlineStr">
        <is>
          <t>2026-09-30</t>
        </is>
      </c>
      <c r="B887" t="inlineStr">
        <is>
          <t>Wed</t>
        </is>
      </c>
      <c r="C887" t="inlineStr">
        <is>
          <t>Farming</t>
        </is>
      </c>
      <c r="D887" t="inlineStr">
        <is>
          <t>Pele</t>
        </is>
      </c>
      <c r="E887" t="n">
        <v>2</v>
      </c>
      <c r="F887" t="inlineStr">
        <is>
          <t>16:00-24:00</t>
        </is>
      </c>
      <c r="H887" t="inlineStr">
        <is>
          <t>ANT &amp; ELMORE</t>
        </is>
      </c>
    </row>
    <row r="888">
      <c r="A888" t="inlineStr">
        <is>
          <t>2026-09-30</t>
        </is>
      </c>
      <c r="B888" t="inlineStr">
        <is>
          <t>Wed</t>
        </is>
      </c>
      <c r="C888" t="inlineStr">
        <is>
          <t>Farming</t>
        </is>
      </c>
      <c r="D888" t="inlineStr">
        <is>
          <t>Pele</t>
        </is>
      </c>
      <c r="E888" t="n">
        <v>3</v>
      </c>
      <c r="F888" t="inlineStr">
        <is>
          <t>24:00-08:00</t>
        </is>
      </c>
      <c r="H888" t="inlineStr">
        <is>
          <t>ELMORE</t>
        </is>
      </c>
    </row>
    <row r="889">
      <c r="A889" t="inlineStr">
        <is>
          <t>2026-09-30</t>
        </is>
      </c>
      <c r="B889" t="inlineStr">
        <is>
          <t>Wed</t>
        </is>
      </c>
      <c r="C889" t="inlineStr">
        <is>
          <t>Farming</t>
        </is>
      </c>
      <c r="D889" t="inlineStr">
        <is>
          <t>Ronaldo</t>
        </is>
      </c>
      <c r="E889" t="n">
        <v>1</v>
      </c>
      <c r="F889" t="inlineStr">
        <is>
          <t>09:00-16:00</t>
        </is>
      </c>
    </row>
    <row r="890">
      <c r="A890" t="inlineStr">
        <is>
          <t>2026-09-30</t>
        </is>
      </c>
      <c r="B890" t="inlineStr">
        <is>
          <t>Wed</t>
        </is>
      </c>
      <c r="C890" t="inlineStr">
        <is>
          <t>Farming</t>
        </is>
      </c>
      <c r="D890" t="inlineStr">
        <is>
          <t>Ronaldo</t>
        </is>
      </c>
      <c r="E890" t="n">
        <v>2</v>
      </c>
      <c r="F890" t="inlineStr">
        <is>
          <t>16:00-24:00</t>
        </is>
      </c>
      <c r="H890" t="inlineStr">
        <is>
          <t>Ivory Tower 4~5</t>
        </is>
      </c>
    </row>
    <row r="891">
      <c r="A891" t="inlineStr">
        <is>
          <t>2026-09-30</t>
        </is>
      </c>
      <c r="B891" t="inlineStr">
        <is>
          <t>Wed</t>
        </is>
      </c>
      <c r="C891" t="inlineStr">
        <is>
          <t>Farming</t>
        </is>
      </c>
      <c r="D891" t="inlineStr">
        <is>
          <t>Ronaldo</t>
        </is>
      </c>
      <c r="E891" t="n">
        <v>3</v>
      </c>
      <c r="F891" t="inlineStr">
        <is>
          <t>24:00-08:00</t>
        </is>
      </c>
      <c r="H891" t="inlineStr">
        <is>
          <t>Ivory flr4&amp;5</t>
        </is>
      </c>
    </row>
    <row r="892">
      <c r="A892" t="inlineStr">
        <is>
          <t>2026-09-30</t>
        </is>
      </c>
      <c r="B892" t="inlineStr">
        <is>
          <t>Wed</t>
        </is>
      </c>
      <c r="C892" t="inlineStr">
        <is>
          <t>Farming</t>
        </is>
      </c>
      <c r="D892" t="inlineStr">
        <is>
          <t>Sarim</t>
        </is>
      </c>
      <c r="E892" t="n">
        <v>1</v>
      </c>
      <c r="F892" t="inlineStr">
        <is>
          <t>09:00-16:00</t>
        </is>
      </c>
    </row>
    <row r="893">
      <c r="A893" t="inlineStr">
        <is>
          <t>2026-09-30</t>
        </is>
      </c>
      <c r="B893" t="inlineStr">
        <is>
          <t>Wed</t>
        </is>
      </c>
      <c r="C893" t="inlineStr">
        <is>
          <t>Farming</t>
        </is>
      </c>
      <c r="D893" t="inlineStr">
        <is>
          <t>Sarim</t>
        </is>
      </c>
      <c r="E893" t="n">
        <v>2</v>
      </c>
      <c r="F893" t="inlineStr">
        <is>
          <t>16:00-24:00</t>
        </is>
      </c>
      <c r="H893" t="inlineStr">
        <is>
          <t>ELMORE &amp; DD</t>
        </is>
      </c>
    </row>
    <row r="894">
      <c r="A894" t="inlineStr">
        <is>
          <t>2026-09-30</t>
        </is>
      </c>
      <c r="B894" t="inlineStr">
        <is>
          <t>Wed</t>
        </is>
      </c>
      <c r="C894" t="inlineStr">
        <is>
          <t>Farming</t>
        </is>
      </c>
      <c r="D894" t="inlineStr">
        <is>
          <t>Sarim</t>
        </is>
      </c>
      <c r="E894" t="n">
        <v>3</v>
      </c>
      <c r="F894" t="inlineStr">
        <is>
          <t>24:00-08:00</t>
        </is>
      </c>
      <c r="H894" t="inlineStr">
        <is>
          <t>Elmore</t>
        </is>
      </c>
    </row>
    <row r="895">
      <c r="A895" t="inlineStr">
        <is>
          <t>2026-09-30</t>
        </is>
      </c>
      <c r="B895" t="inlineStr">
        <is>
          <t>Wed</t>
        </is>
      </c>
      <c r="C895" t="inlineStr">
        <is>
          <t>Farming</t>
        </is>
      </c>
      <c r="D895" t="inlineStr">
        <is>
          <t>Sinsang</t>
        </is>
      </c>
      <c r="E895" t="n">
        <v>1</v>
      </c>
      <c r="F895" t="inlineStr">
        <is>
          <t>07:00-11:00</t>
        </is>
      </c>
      <c r="H895" t="inlineStr">
        <is>
          <t>Corrrupted Land</t>
        </is>
      </c>
    </row>
    <row r="896">
      <c r="A896" t="inlineStr">
        <is>
          <t>2026-09-30</t>
        </is>
      </c>
      <c r="B896" t="inlineStr">
        <is>
          <t>Wed</t>
        </is>
      </c>
      <c r="C896" t="inlineStr">
        <is>
          <t>Farming</t>
        </is>
      </c>
      <c r="D896" t="inlineStr">
        <is>
          <t>Sudden</t>
        </is>
      </c>
      <c r="E896" t="n">
        <v>1</v>
      </c>
      <c r="F896" t="inlineStr">
        <is>
          <t>08:00-16:00</t>
        </is>
      </c>
    </row>
    <row r="897">
      <c r="A897" t="inlineStr">
        <is>
          <t>2026-09-30</t>
        </is>
      </c>
      <c r="B897" t="inlineStr">
        <is>
          <t>Wed</t>
        </is>
      </c>
      <c r="C897" t="inlineStr">
        <is>
          <t>Farming</t>
        </is>
      </c>
      <c r="D897" t="inlineStr">
        <is>
          <t>Sudden</t>
        </is>
      </c>
      <c r="E897" t="n">
        <v>2</v>
      </c>
      <c r="F897" t="inlineStr">
        <is>
          <t>16:00-24:00</t>
        </is>
      </c>
      <c r="H897" t="inlineStr">
        <is>
          <t>ELMORE &amp; DD</t>
        </is>
      </c>
    </row>
    <row r="898">
      <c r="A898" t="inlineStr">
        <is>
          <t>2026-09-30</t>
        </is>
      </c>
      <c r="B898" t="inlineStr">
        <is>
          <t>Wed</t>
        </is>
      </c>
      <c r="C898" t="inlineStr">
        <is>
          <t>Farming</t>
        </is>
      </c>
      <c r="D898" t="inlineStr">
        <is>
          <t>Sudden</t>
        </is>
      </c>
      <c r="E898" t="n">
        <v>3</v>
      </c>
      <c r="F898" t="inlineStr">
        <is>
          <t>24:00-08:00</t>
        </is>
      </c>
      <c r="H898" t="inlineStr">
        <is>
          <t>Elmore</t>
        </is>
      </c>
    </row>
    <row r="899">
      <c r="A899" t="inlineStr">
        <is>
          <t>2026-09-30</t>
        </is>
      </c>
      <c r="B899" t="inlineStr">
        <is>
          <t>Wed</t>
        </is>
      </c>
      <c r="C899" t="inlineStr">
        <is>
          <t>Farming</t>
        </is>
      </c>
      <c r="D899" t="inlineStr">
        <is>
          <t>Sunsang</t>
        </is>
      </c>
      <c r="E899" t="n">
        <v>1</v>
      </c>
      <c r="F899" t="inlineStr">
        <is>
          <t>OFF</t>
        </is>
      </c>
    </row>
    <row r="900">
      <c r="A900" t="inlineStr">
        <is>
          <t>2026-09-30</t>
        </is>
      </c>
      <c r="B900" t="inlineStr">
        <is>
          <t>Wed</t>
        </is>
      </c>
      <c r="C900" t="inlineStr">
        <is>
          <t>Farming</t>
        </is>
      </c>
      <c r="D900" t="inlineStr">
        <is>
          <t>Sunsang</t>
        </is>
      </c>
      <c r="E900" t="n">
        <v>2</v>
      </c>
      <c r="F900" t="inlineStr">
        <is>
          <t>24:00-08:00</t>
        </is>
      </c>
    </row>
    <row r="901">
      <c r="A901" t="inlineStr">
        <is>
          <t>2026-09-30</t>
        </is>
      </c>
      <c r="B901" t="inlineStr">
        <is>
          <t>Wed</t>
        </is>
      </c>
      <c r="C901" t="inlineStr">
        <is>
          <t>Farming</t>
        </is>
      </c>
      <c r="D901" t="inlineStr">
        <is>
          <t>Taejo</t>
        </is>
      </c>
      <c r="E901" t="n">
        <v>1</v>
      </c>
      <c r="F901" t="inlineStr">
        <is>
          <t>09:00-16:00</t>
        </is>
      </c>
    </row>
    <row r="902">
      <c r="A902" t="inlineStr">
        <is>
          <t>2026-09-30</t>
        </is>
      </c>
      <c r="B902" t="inlineStr">
        <is>
          <t>Wed</t>
        </is>
      </c>
      <c r="C902" t="inlineStr">
        <is>
          <t>Farming</t>
        </is>
      </c>
      <c r="D902" t="inlineStr">
        <is>
          <t>Taejo</t>
        </is>
      </c>
      <c r="E902" t="n">
        <v>2</v>
      </c>
      <c r="F902" t="inlineStr">
        <is>
          <t>16:00-24:00</t>
        </is>
      </c>
      <c r="H902" t="inlineStr">
        <is>
          <t>ELMORE &amp; DD</t>
        </is>
      </c>
    </row>
    <row r="903">
      <c r="A903" t="inlineStr">
        <is>
          <t>2026-09-30</t>
        </is>
      </c>
      <c r="B903" t="inlineStr">
        <is>
          <t>Wed</t>
        </is>
      </c>
      <c r="C903" t="inlineStr">
        <is>
          <t>Farming</t>
        </is>
      </c>
      <c r="D903" t="inlineStr">
        <is>
          <t>Taejo</t>
        </is>
      </c>
      <c r="E903" t="n">
        <v>3</v>
      </c>
      <c r="F903" t="inlineStr">
        <is>
          <t>24:00-08:00</t>
        </is>
      </c>
      <c r="H903" t="inlineStr">
        <is>
          <t>Elmore</t>
        </is>
      </c>
    </row>
    <row r="904">
      <c r="A904" t="inlineStr">
        <is>
          <t>2026-10-01</t>
        </is>
      </c>
      <c r="B904" t="inlineStr">
        <is>
          <t>Thu</t>
        </is>
      </c>
      <c r="C904" t="inlineStr">
        <is>
          <t>Client</t>
        </is>
      </c>
      <c r="D904" t="inlineStr">
        <is>
          <t>ADA</t>
        </is>
      </c>
      <c r="E904" t="n">
        <v>1</v>
      </c>
      <c r="F904" t="inlineStr">
        <is>
          <t>09:00-17:00</t>
        </is>
      </c>
    </row>
    <row r="905">
      <c r="A905" t="inlineStr">
        <is>
          <t>2026-10-01</t>
        </is>
      </c>
      <c r="B905" t="inlineStr">
        <is>
          <t>Thu</t>
        </is>
      </c>
      <c r="C905" t="inlineStr">
        <is>
          <t>Client</t>
        </is>
      </c>
      <c r="D905" t="inlineStr">
        <is>
          <t>ADA</t>
        </is>
      </c>
      <c r="E905" t="n">
        <v>2</v>
      </c>
      <c r="F905" t="inlineStr">
        <is>
          <t>OFF</t>
        </is>
      </c>
    </row>
    <row r="906">
      <c r="A906" t="inlineStr">
        <is>
          <t>2026-10-01</t>
        </is>
      </c>
      <c r="B906" t="inlineStr">
        <is>
          <t>Thu</t>
        </is>
      </c>
      <c r="C906" t="inlineStr">
        <is>
          <t>Client</t>
        </is>
      </c>
      <c r="D906" t="inlineStr">
        <is>
          <t>Alex</t>
        </is>
      </c>
      <c r="E906" t="n">
        <v>1</v>
      </c>
      <c r="F906" t="inlineStr">
        <is>
          <t>08:00-16:00</t>
        </is>
      </c>
      <c r="H906" t="inlineStr">
        <is>
          <t>Ivory Tower 4~5</t>
        </is>
      </c>
    </row>
    <row r="907">
      <c r="A907" t="inlineStr">
        <is>
          <t>2026-10-01</t>
        </is>
      </c>
      <c r="B907" t="inlineStr">
        <is>
          <t>Thu</t>
        </is>
      </c>
      <c r="C907" t="inlineStr">
        <is>
          <t>Client</t>
        </is>
      </c>
      <c r="D907" t="inlineStr">
        <is>
          <t>Alex</t>
        </is>
      </c>
      <c r="E907" t="n">
        <v>2</v>
      </c>
      <c r="F907" t="inlineStr">
        <is>
          <t>16:00-24:00</t>
        </is>
      </c>
      <c r="H907" t="inlineStr">
        <is>
          <t>Ivory Tower 6~7</t>
        </is>
      </c>
    </row>
    <row r="908">
      <c r="A908" t="inlineStr">
        <is>
          <t>2026-10-01</t>
        </is>
      </c>
      <c r="B908" t="inlineStr">
        <is>
          <t>Thu</t>
        </is>
      </c>
      <c r="C908" t="inlineStr">
        <is>
          <t>Client</t>
        </is>
      </c>
      <c r="D908" t="inlineStr">
        <is>
          <t>Alex</t>
        </is>
      </c>
      <c r="E908" t="n">
        <v>3</v>
      </c>
      <c r="F908" t="inlineStr">
        <is>
          <t>24:00-08:00</t>
        </is>
      </c>
      <c r="H908" t="inlineStr">
        <is>
          <t>Island of dreams</t>
        </is>
      </c>
    </row>
    <row r="909">
      <c r="A909" t="inlineStr">
        <is>
          <t>2026-10-01</t>
        </is>
      </c>
      <c r="B909" t="inlineStr">
        <is>
          <t>Thu</t>
        </is>
      </c>
      <c r="C909" t="inlineStr">
        <is>
          <t>Client</t>
        </is>
      </c>
      <c r="D909" t="inlineStr">
        <is>
          <t>Beongaebul</t>
        </is>
      </c>
      <c r="E909" t="n">
        <v>1</v>
      </c>
      <c r="F909" t="inlineStr">
        <is>
          <t>01:00-09:00</t>
        </is>
      </c>
    </row>
    <row r="910">
      <c r="A910" t="inlineStr">
        <is>
          <t>2026-10-01</t>
        </is>
      </c>
      <c r="B910" t="inlineStr">
        <is>
          <t>Thu</t>
        </is>
      </c>
      <c r="C910" t="inlineStr">
        <is>
          <t>Client</t>
        </is>
      </c>
      <c r="D910" t="inlineStr">
        <is>
          <t>Captain</t>
        </is>
      </c>
      <c r="E910" t="n">
        <v>1</v>
      </c>
      <c r="F910" t="inlineStr">
        <is>
          <t>OFF</t>
        </is>
      </c>
    </row>
    <row r="911">
      <c r="A911" t="inlineStr">
        <is>
          <t>2026-10-01</t>
        </is>
      </c>
      <c r="B911" t="inlineStr">
        <is>
          <t>Thu</t>
        </is>
      </c>
      <c r="C911" t="inlineStr">
        <is>
          <t>Client</t>
        </is>
      </c>
      <c r="D911" t="inlineStr">
        <is>
          <t>Captain</t>
        </is>
      </c>
      <c r="E911" t="n">
        <v>2</v>
      </c>
      <c r="F911" t="inlineStr">
        <is>
          <t>OFF</t>
        </is>
      </c>
    </row>
    <row r="912">
      <c r="A912" t="inlineStr">
        <is>
          <t>2026-10-01</t>
        </is>
      </c>
      <c r="B912" t="inlineStr">
        <is>
          <t>Thu</t>
        </is>
      </c>
      <c r="C912" t="inlineStr">
        <is>
          <t>Client</t>
        </is>
      </c>
      <c r="D912" t="inlineStr">
        <is>
          <t>Dalo</t>
        </is>
      </c>
      <c r="E912" t="n">
        <v>1</v>
      </c>
      <c r="F912" t="inlineStr">
        <is>
          <t>OFF</t>
        </is>
      </c>
    </row>
    <row r="913">
      <c r="A913" t="inlineStr">
        <is>
          <t>2026-10-01</t>
        </is>
      </c>
      <c r="B913" t="inlineStr">
        <is>
          <t>Thu</t>
        </is>
      </c>
      <c r="C913" t="inlineStr">
        <is>
          <t>Client</t>
        </is>
      </c>
      <c r="D913" t="inlineStr">
        <is>
          <t>Dalo</t>
        </is>
      </c>
      <c r="E913" t="n">
        <v>2</v>
      </c>
      <c r="F913" t="inlineStr">
        <is>
          <t>OFF</t>
        </is>
      </c>
    </row>
    <row r="914">
      <c r="A914" t="inlineStr">
        <is>
          <t>2026-10-01</t>
        </is>
      </c>
      <c r="B914" t="inlineStr">
        <is>
          <t>Thu</t>
        </is>
      </c>
      <c r="C914" t="inlineStr">
        <is>
          <t>Client</t>
        </is>
      </c>
      <c r="D914" t="inlineStr">
        <is>
          <t>Dalo</t>
        </is>
      </c>
      <c r="E914" t="n">
        <v>3</v>
      </c>
      <c r="F914" t="inlineStr">
        <is>
          <t>OFF</t>
        </is>
      </c>
    </row>
    <row r="915">
      <c r="A915" t="inlineStr">
        <is>
          <t>2026-10-01</t>
        </is>
      </c>
      <c r="B915" t="inlineStr">
        <is>
          <t>Thu</t>
        </is>
      </c>
      <c r="C915" t="inlineStr">
        <is>
          <t>Client</t>
        </is>
      </c>
      <c r="D915" t="inlineStr">
        <is>
          <t>Dodam</t>
        </is>
      </c>
      <c r="E915" t="n">
        <v>1</v>
      </c>
      <c r="F915" t="inlineStr">
        <is>
          <t>23:00-11:00</t>
        </is>
      </c>
      <c r="H915" t="inlineStr">
        <is>
          <t>Island of Dreams</t>
        </is>
      </c>
    </row>
    <row r="916">
      <c r="A916" t="inlineStr">
        <is>
          <t>2026-10-01</t>
        </is>
      </c>
      <c r="B916" t="inlineStr">
        <is>
          <t>Thu</t>
        </is>
      </c>
      <c r="C916" t="inlineStr">
        <is>
          <t>Client</t>
        </is>
      </c>
      <c r="D916" t="inlineStr">
        <is>
          <t>Dodam</t>
        </is>
      </c>
      <c r="E916" t="n">
        <v>2</v>
      </c>
      <c r="F916" t="inlineStr">
        <is>
          <t>07:00-19:00</t>
        </is>
      </c>
    </row>
    <row r="917">
      <c r="A917" t="inlineStr">
        <is>
          <t>2026-10-01</t>
        </is>
      </c>
      <c r="B917" t="inlineStr">
        <is>
          <t>Thu</t>
        </is>
      </c>
      <c r="C917" t="inlineStr">
        <is>
          <t>Client</t>
        </is>
      </c>
      <c r="D917" t="inlineStr">
        <is>
          <t>Dol</t>
        </is>
      </c>
      <c r="E917" t="n">
        <v>1</v>
      </c>
      <c r="F917" t="inlineStr">
        <is>
          <t>24:00-08:00</t>
        </is>
      </c>
      <c r="H917" t="inlineStr">
        <is>
          <t>Dragon Valley</t>
        </is>
      </c>
    </row>
    <row r="918">
      <c r="A918" t="inlineStr">
        <is>
          <t>2026-10-01</t>
        </is>
      </c>
      <c r="B918" t="inlineStr">
        <is>
          <t>Thu</t>
        </is>
      </c>
      <c r="C918" t="inlineStr">
        <is>
          <t>Client</t>
        </is>
      </c>
      <c r="D918" t="inlineStr">
        <is>
          <t>Dol</t>
        </is>
      </c>
      <c r="E918" t="n">
        <v>2</v>
      </c>
      <c r="F918" t="inlineStr">
        <is>
          <t>OFF</t>
        </is>
      </c>
    </row>
    <row r="919">
      <c r="A919" t="inlineStr">
        <is>
          <t>2026-10-01</t>
        </is>
      </c>
      <c r="B919" t="inlineStr">
        <is>
          <t>Thu</t>
        </is>
      </c>
      <c r="C919" t="inlineStr">
        <is>
          <t>Client</t>
        </is>
      </c>
      <c r="D919" t="inlineStr">
        <is>
          <t>Doma</t>
        </is>
      </c>
      <c r="E919" t="n">
        <v>1</v>
      </c>
      <c r="F919" t="inlineStr">
        <is>
          <t>OFF</t>
        </is>
      </c>
    </row>
    <row r="920">
      <c r="A920" t="inlineStr">
        <is>
          <t>2026-10-01</t>
        </is>
      </c>
      <c r="B920" t="inlineStr">
        <is>
          <t>Thu</t>
        </is>
      </c>
      <c r="C920" t="inlineStr">
        <is>
          <t>Client</t>
        </is>
      </c>
      <c r="D920" t="inlineStr">
        <is>
          <t>Doma</t>
        </is>
      </c>
      <c r="E920" t="n">
        <v>2</v>
      </c>
      <c r="F920" t="inlineStr">
        <is>
          <t>23:00-07:00</t>
        </is>
      </c>
      <c r="H920" t="inlineStr">
        <is>
          <t>Ivory Tower</t>
        </is>
      </c>
    </row>
    <row r="921">
      <c r="A921" t="inlineStr">
        <is>
          <t>2026-10-01</t>
        </is>
      </c>
      <c r="B921" t="inlineStr">
        <is>
          <t>Thu</t>
        </is>
      </c>
      <c r="C921" t="inlineStr">
        <is>
          <t>Client</t>
        </is>
      </c>
      <c r="D921" t="inlineStr">
        <is>
          <t>Duga</t>
        </is>
      </c>
      <c r="E921" t="n">
        <v>1</v>
      </c>
      <c r="F921" t="inlineStr">
        <is>
          <t>07:00-15:00</t>
        </is>
      </c>
      <c r="H921" t="inlineStr">
        <is>
          <t>Oman/ Ivory Tower</t>
        </is>
      </c>
    </row>
    <row r="922">
      <c r="A922" t="inlineStr">
        <is>
          <t>2026-10-01</t>
        </is>
      </c>
      <c r="B922" t="inlineStr">
        <is>
          <t>Thu</t>
        </is>
      </c>
      <c r="C922" t="inlineStr">
        <is>
          <t>Client</t>
        </is>
      </c>
      <c r="D922" t="inlineStr">
        <is>
          <t>Elf</t>
        </is>
      </c>
      <c r="E922" t="n">
        <v>1</v>
      </c>
      <c r="F922" t="inlineStr">
        <is>
          <t>OFF</t>
        </is>
      </c>
    </row>
    <row r="923">
      <c r="A923" t="inlineStr">
        <is>
          <t>2026-10-01</t>
        </is>
      </c>
      <c r="B923" t="inlineStr">
        <is>
          <t>Thu</t>
        </is>
      </c>
      <c r="C923" t="inlineStr">
        <is>
          <t>Client</t>
        </is>
      </c>
      <c r="D923" t="inlineStr">
        <is>
          <t>Geonbae</t>
        </is>
      </c>
      <c r="E923" t="n">
        <v>1</v>
      </c>
      <c r="F923" t="inlineStr">
        <is>
          <t>OFF</t>
        </is>
      </c>
    </row>
    <row r="924">
      <c r="A924" t="inlineStr">
        <is>
          <t>2026-10-01</t>
        </is>
      </c>
      <c r="B924" t="inlineStr">
        <is>
          <t>Thu</t>
        </is>
      </c>
      <c r="C924" t="inlineStr">
        <is>
          <t>Client</t>
        </is>
      </c>
      <c r="D924" t="inlineStr">
        <is>
          <t>Geonbae</t>
        </is>
      </c>
      <c r="E924" t="n">
        <v>2</v>
      </c>
      <c r="F924" t="inlineStr">
        <is>
          <t>23:00-07:00</t>
        </is>
      </c>
      <c r="H924" t="inlineStr">
        <is>
          <t>Ivory Tower</t>
        </is>
      </c>
    </row>
    <row r="925">
      <c r="A925" t="inlineStr">
        <is>
          <t>2026-10-01</t>
        </is>
      </c>
      <c r="B925" t="inlineStr">
        <is>
          <t>Thu</t>
        </is>
      </c>
      <c r="C925" t="inlineStr">
        <is>
          <t>Client</t>
        </is>
      </c>
      <c r="D925" t="inlineStr">
        <is>
          <t>Goop</t>
        </is>
      </c>
      <c r="E925" t="n">
        <v>1</v>
      </c>
      <c r="F925" t="inlineStr">
        <is>
          <t>OFF</t>
        </is>
      </c>
    </row>
    <row r="926">
      <c r="A926" t="inlineStr">
        <is>
          <t>2026-10-01</t>
        </is>
      </c>
      <c r="B926" t="inlineStr">
        <is>
          <t>Thu</t>
        </is>
      </c>
      <c r="C926" t="inlineStr">
        <is>
          <t>Client</t>
        </is>
      </c>
      <c r="D926" t="inlineStr">
        <is>
          <t>Heon</t>
        </is>
      </c>
      <c r="E926" t="n">
        <v>1</v>
      </c>
      <c r="F926" t="inlineStr">
        <is>
          <t>OFF</t>
        </is>
      </c>
      <c r="H926" t="inlineStr">
        <is>
          <t>Abandoned Land (Abyss) 6
ivory tower 2</t>
        </is>
      </c>
    </row>
    <row r="927">
      <c r="A927" t="inlineStr">
        <is>
          <t>2026-10-01</t>
        </is>
      </c>
      <c r="B927" t="inlineStr">
        <is>
          <t>Thu</t>
        </is>
      </c>
      <c r="C927" t="inlineStr">
        <is>
          <t>Client</t>
        </is>
      </c>
      <c r="D927" t="inlineStr">
        <is>
          <t>Jjuni</t>
        </is>
      </c>
      <c r="E927" t="n">
        <v>1</v>
      </c>
      <c r="F927" t="inlineStr">
        <is>
          <t>13:00-21:00</t>
        </is>
      </c>
    </row>
    <row r="928">
      <c r="A928" t="inlineStr">
        <is>
          <t>2026-10-01</t>
        </is>
      </c>
      <c r="B928" t="inlineStr">
        <is>
          <t>Thu</t>
        </is>
      </c>
      <c r="C928" t="inlineStr">
        <is>
          <t>Client</t>
        </is>
      </c>
      <c r="D928" t="inlineStr">
        <is>
          <t>Jjuni</t>
        </is>
      </c>
      <c r="E928" t="n">
        <v>2</v>
      </c>
      <c r="F928" t="inlineStr">
        <is>
          <t>OFF</t>
        </is>
      </c>
    </row>
    <row r="929">
      <c r="A929" t="inlineStr">
        <is>
          <t>2026-10-01</t>
        </is>
      </c>
      <c r="B929" t="inlineStr">
        <is>
          <t>Thu</t>
        </is>
      </c>
      <c r="C929" t="inlineStr">
        <is>
          <t>Client</t>
        </is>
      </c>
      <c r="D929" t="inlineStr">
        <is>
          <t>Jjuni</t>
        </is>
      </c>
      <c r="E929" t="n">
        <v>3</v>
      </c>
      <c r="F929" t="inlineStr">
        <is>
          <t>OFF</t>
        </is>
      </c>
      <c r="H929" t="inlineStr">
        <is>
          <t>Ivory Tower</t>
        </is>
      </c>
    </row>
    <row r="930">
      <c r="A930" t="inlineStr">
        <is>
          <t>2026-10-01</t>
        </is>
      </c>
      <c r="B930" t="inlineStr">
        <is>
          <t>Thu</t>
        </is>
      </c>
      <c r="C930" t="inlineStr">
        <is>
          <t>Client</t>
        </is>
      </c>
      <c r="D930" t="inlineStr">
        <is>
          <t>Jo</t>
        </is>
      </c>
      <c r="E930" t="n">
        <v>1</v>
      </c>
      <c r="F930" t="inlineStr">
        <is>
          <t>OFF</t>
        </is>
      </c>
    </row>
    <row r="931">
      <c r="A931" t="inlineStr">
        <is>
          <t>2026-10-01</t>
        </is>
      </c>
      <c r="B931" t="inlineStr">
        <is>
          <t>Thu</t>
        </is>
      </c>
      <c r="C931" t="inlineStr">
        <is>
          <t>Client</t>
        </is>
      </c>
      <c r="D931" t="inlineStr">
        <is>
          <t>Lammy Queen</t>
        </is>
      </c>
      <c r="E931" t="n">
        <v>1</v>
      </c>
      <c r="F931" t="inlineStr">
        <is>
          <t>OFF</t>
        </is>
      </c>
    </row>
    <row r="932">
      <c r="A932" t="inlineStr">
        <is>
          <t>2026-10-01</t>
        </is>
      </c>
      <c r="B932" t="inlineStr">
        <is>
          <t>Thu</t>
        </is>
      </c>
      <c r="C932" t="inlineStr">
        <is>
          <t>Client</t>
        </is>
      </c>
      <c r="D932" t="inlineStr">
        <is>
          <t>Lammy Queen</t>
        </is>
      </c>
      <c r="E932" t="n">
        <v>2</v>
      </c>
      <c r="F932" t="inlineStr">
        <is>
          <t>01:00-09:00</t>
        </is>
      </c>
      <c r="H932" t="inlineStr">
        <is>
          <t>Abandon Land</t>
        </is>
      </c>
    </row>
    <row r="933">
      <c r="A933" t="inlineStr">
        <is>
          <t>2026-10-01</t>
        </is>
      </c>
      <c r="B933" t="inlineStr">
        <is>
          <t>Thu</t>
        </is>
      </c>
      <c r="C933" t="inlineStr">
        <is>
          <t>Client</t>
        </is>
      </c>
      <c r="D933" t="inlineStr">
        <is>
          <t>Lolly</t>
        </is>
      </c>
      <c r="E933" t="n">
        <v>1</v>
      </c>
      <c r="F933" t="inlineStr">
        <is>
          <t>06:00-16:00</t>
        </is>
      </c>
      <c r="H933" t="inlineStr">
        <is>
          <t>abandoned land 3
a land of corruption5</t>
        </is>
      </c>
    </row>
    <row r="934">
      <c r="A934" t="inlineStr">
        <is>
          <t>2026-10-01</t>
        </is>
      </c>
      <c r="B934" t="inlineStr">
        <is>
          <t>Thu</t>
        </is>
      </c>
      <c r="C934" t="inlineStr">
        <is>
          <t>Client</t>
        </is>
      </c>
      <c r="D934" t="inlineStr">
        <is>
          <t>Mukkbo</t>
        </is>
      </c>
      <c r="E934" t="n">
        <v>1</v>
      </c>
      <c r="F934" t="inlineStr">
        <is>
          <t>OFF</t>
        </is>
      </c>
    </row>
    <row r="935">
      <c r="A935" t="inlineStr">
        <is>
          <t>2026-10-01</t>
        </is>
      </c>
      <c r="B935" t="inlineStr">
        <is>
          <t>Thu</t>
        </is>
      </c>
      <c r="C935" t="inlineStr">
        <is>
          <t>Client</t>
        </is>
      </c>
      <c r="D935" t="inlineStr">
        <is>
          <t>Mukkbo</t>
        </is>
      </c>
      <c r="E935" t="n">
        <v>2</v>
      </c>
      <c r="F935" t="inlineStr">
        <is>
          <t>OFF</t>
        </is>
      </c>
    </row>
    <row r="936">
      <c r="A936" t="inlineStr">
        <is>
          <t>2026-10-01</t>
        </is>
      </c>
      <c r="B936" t="inlineStr">
        <is>
          <t>Thu</t>
        </is>
      </c>
      <c r="C936" t="inlineStr">
        <is>
          <t>Client</t>
        </is>
      </c>
      <c r="D936" t="inlineStr">
        <is>
          <t>Munjin</t>
        </is>
      </c>
      <c r="E936" t="n">
        <v>1</v>
      </c>
      <c r="F936" t="inlineStr">
        <is>
          <t>OFF</t>
        </is>
      </c>
    </row>
    <row r="937">
      <c r="A937" t="inlineStr">
        <is>
          <t>2026-10-01</t>
        </is>
      </c>
      <c r="B937" t="inlineStr">
        <is>
          <t>Thu</t>
        </is>
      </c>
      <c r="C937" t="inlineStr">
        <is>
          <t>Client</t>
        </is>
      </c>
      <c r="D937" t="inlineStr">
        <is>
          <t>Neburegi</t>
        </is>
      </c>
      <c r="E937" t="n">
        <v>1</v>
      </c>
      <c r="F937" t="inlineStr">
        <is>
          <t>OFF</t>
        </is>
      </c>
    </row>
    <row r="938">
      <c r="A938" t="inlineStr">
        <is>
          <t>2026-10-01</t>
        </is>
      </c>
      <c r="B938" t="inlineStr">
        <is>
          <t>Thu</t>
        </is>
      </c>
      <c r="C938" t="inlineStr">
        <is>
          <t>Client</t>
        </is>
      </c>
      <c r="D938" t="inlineStr">
        <is>
          <t>Olleh</t>
        </is>
      </c>
      <c r="E938" t="n">
        <v>1</v>
      </c>
      <c r="F938" t="inlineStr">
        <is>
          <t>OFF</t>
        </is>
      </c>
    </row>
    <row r="939">
      <c r="A939" t="inlineStr">
        <is>
          <t>2026-10-01</t>
        </is>
      </c>
      <c r="B939" t="inlineStr">
        <is>
          <t>Thu</t>
        </is>
      </c>
      <c r="C939" t="inlineStr">
        <is>
          <t>Client</t>
        </is>
      </c>
      <c r="D939" t="inlineStr">
        <is>
          <t>Olleh</t>
        </is>
      </c>
      <c r="E939" t="n">
        <v>2</v>
      </c>
      <c r="F939" t="inlineStr">
        <is>
          <t>23:00-11:00</t>
        </is>
      </c>
      <c r="H939" t="inlineStr">
        <is>
          <t>Ivory Tower</t>
        </is>
      </c>
    </row>
    <row r="940">
      <c r="A940" t="inlineStr">
        <is>
          <t>2026-10-01</t>
        </is>
      </c>
      <c r="B940" t="inlineStr">
        <is>
          <t>Thu</t>
        </is>
      </c>
      <c r="C940" t="inlineStr">
        <is>
          <t>Client</t>
        </is>
      </c>
      <c r="D940" t="inlineStr">
        <is>
          <t>Perez</t>
        </is>
      </c>
      <c r="E940" t="n">
        <v>1</v>
      </c>
      <c r="F940" t="inlineStr">
        <is>
          <t>08:00-16:00</t>
        </is>
      </c>
    </row>
    <row r="941">
      <c r="A941" t="inlineStr">
        <is>
          <t>2026-10-01</t>
        </is>
      </c>
      <c r="B941" t="inlineStr">
        <is>
          <t>Thu</t>
        </is>
      </c>
      <c r="C941" t="inlineStr">
        <is>
          <t>Client</t>
        </is>
      </c>
      <c r="D941" t="inlineStr">
        <is>
          <t>Perez</t>
        </is>
      </c>
      <c r="E941" t="n">
        <v>2</v>
      </c>
      <c r="F941" t="inlineStr">
        <is>
          <t>13:00-21:00</t>
        </is>
      </c>
      <c r="H941" t="inlineStr">
        <is>
          <t>LAND OF FALLEN / SPATOY</t>
        </is>
      </c>
    </row>
    <row r="942">
      <c r="A942" t="inlineStr">
        <is>
          <t>2026-10-01</t>
        </is>
      </c>
      <c r="B942" t="inlineStr">
        <is>
          <t>Thu</t>
        </is>
      </c>
      <c r="C942" t="inlineStr">
        <is>
          <t>Client</t>
        </is>
      </c>
      <c r="D942" t="inlineStr">
        <is>
          <t>Perez</t>
        </is>
      </c>
      <c r="E942" t="n">
        <v>3</v>
      </c>
      <c r="F942" t="inlineStr">
        <is>
          <t>21:00-05:00</t>
        </is>
      </c>
      <c r="H942" t="inlineStr">
        <is>
          <t>Abandon Land</t>
        </is>
      </c>
    </row>
    <row r="943">
      <c r="A943" t="inlineStr">
        <is>
          <t>2026-10-01</t>
        </is>
      </c>
      <c r="B943" t="inlineStr">
        <is>
          <t>Thu</t>
        </is>
      </c>
      <c r="C943" t="inlineStr">
        <is>
          <t>Client</t>
        </is>
      </c>
      <c r="D943" t="inlineStr">
        <is>
          <t>Power20</t>
        </is>
      </c>
      <c r="E943" t="n">
        <v>1</v>
      </c>
      <c r="F943" t="inlineStr">
        <is>
          <t>10:00-18:00</t>
        </is>
      </c>
    </row>
    <row r="944">
      <c r="A944" t="inlineStr">
        <is>
          <t>2026-10-01</t>
        </is>
      </c>
      <c r="B944" t="inlineStr">
        <is>
          <t>Thu</t>
        </is>
      </c>
      <c r="C944" t="inlineStr">
        <is>
          <t>Client</t>
        </is>
      </c>
      <c r="D944" t="inlineStr">
        <is>
          <t>Power20</t>
        </is>
      </c>
      <c r="E944" t="n">
        <v>2</v>
      </c>
      <c r="F944" t="inlineStr">
        <is>
          <t>OFF</t>
        </is>
      </c>
    </row>
    <row r="945">
      <c r="A945" t="inlineStr">
        <is>
          <t>2026-10-01</t>
        </is>
      </c>
      <c r="B945" t="inlineStr">
        <is>
          <t>Thu</t>
        </is>
      </c>
      <c r="C945" t="inlineStr">
        <is>
          <t>Client</t>
        </is>
      </c>
      <c r="D945" t="inlineStr">
        <is>
          <t>Power20</t>
        </is>
      </c>
      <c r="E945" t="n">
        <v>3</v>
      </c>
      <c r="F945" t="inlineStr">
        <is>
          <t>02:00-10:00</t>
        </is>
      </c>
      <c r="H945" t="inlineStr">
        <is>
          <t>Ivory Tower</t>
        </is>
      </c>
    </row>
    <row r="946">
      <c r="A946" t="inlineStr">
        <is>
          <t>2026-10-01</t>
        </is>
      </c>
      <c r="B946" t="inlineStr">
        <is>
          <t>Thu</t>
        </is>
      </c>
      <c r="C946" t="inlineStr">
        <is>
          <t>Client</t>
        </is>
      </c>
      <c r="D946" t="inlineStr">
        <is>
          <t>Real Madrid</t>
        </is>
      </c>
      <c r="E946" t="n">
        <v>1</v>
      </c>
      <c r="F946" t="inlineStr">
        <is>
          <t>24:00-08:00</t>
        </is>
      </c>
      <c r="H946" t="inlineStr">
        <is>
          <t>Ivory Tower</t>
        </is>
      </c>
    </row>
    <row r="947">
      <c r="A947" t="inlineStr">
        <is>
          <t>2026-10-01</t>
        </is>
      </c>
      <c r="B947" t="inlineStr">
        <is>
          <t>Thu</t>
        </is>
      </c>
      <c r="C947" t="inlineStr">
        <is>
          <t>Client</t>
        </is>
      </c>
      <c r="D947" t="inlineStr">
        <is>
          <t>Real Madrid</t>
        </is>
      </c>
      <c r="E947" t="n">
        <v>2</v>
      </c>
      <c r="F947" t="inlineStr">
        <is>
          <t>OFF</t>
        </is>
      </c>
      <c r="H947" t="inlineStr">
        <is>
          <t>Ivory Tower</t>
        </is>
      </c>
    </row>
    <row r="948">
      <c r="A948" t="inlineStr">
        <is>
          <t>2026-10-01</t>
        </is>
      </c>
      <c r="B948" t="inlineStr">
        <is>
          <t>Thu</t>
        </is>
      </c>
      <c r="C948" t="inlineStr">
        <is>
          <t>Client</t>
        </is>
      </c>
      <c r="D948" t="inlineStr">
        <is>
          <t>Real Madrid</t>
        </is>
      </c>
      <c r="E948" t="n">
        <v>3</v>
      </c>
      <c r="F948" t="inlineStr">
        <is>
          <t>OFF</t>
        </is>
      </c>
    </row>
    <row r="949">
      <c r="A949" t="inlineStr">
        <is>
          <t>2026-10-01</t>
        </is>
      </c>
      <c r="B949" t="inlineStr">
        <is>
          <t>Thu</t>
        </is>
      </c>
      <c r="C949" t="inlineStr">
        <is>
          <t>Client</t>
        </is>
      </c>
      <c r="D949" t="inlineStr">
        <is>
          <t>Return</t>
        </is>
      </c>
      <c r="E949" t="n">
        <v>1</v>
      </c>
      <c r="F949" t="inlineStr">
        <is>
          <t>03:00-11:00</t>
        </is>
      </c>
      <c r="H949" t="inlineStr">
        <is>
          <t>Ivory Tower</t>
        </is>
      </c>
    </row>
    <row r="950">
      <c r="A950" t="inlineStr">
        <is>
          <t>2026-10-01</t>
        </is>
      </c>
      <c r="B950" t="inlineStr">
        <is>
          <t>Thu</t>
        </is>
      </c>
      <c r="C950" t="inlineStr">
        <is>
          <t>Client</t>
        </is>
      </c>
      <c r="D950" t="inlineStr">
        <is>
          <t>Road</t>
        </is>
      </c>
      <c r="E950" t="n">
        <v>1</v>
      </c>
      <c r="F950" t="inlineStr">
        <is>
          <t>OFF</t>
        </is>
      </c>
    </row>
    <row r="951">
      <c r="A951" t="inlineStr">
        <is>
          <t>2026-10-01</t>
        </is>
      </c>
      <c r="B951" t="inlineStr">
        <is>
          <t>Thu</t>
        </is>
      </c>
      <c r="C951" t="inlineStr">
        <is>
          <t>Client</t>
        </is>
      </c>
      <c r="D951" t="inlineStr">
        <is>
          <t>SSEN</t>
        </is>
      </c>
      <c r="E951" t="n">
        <v>1</v>
      </c>
      <c r="F951" t="inlineStr">
        <is>
          <t>07:00-19:00</t>
        </is>
      </c>
    </row>
    <row r="952">
      <c r="A952" t="inlineStr">
        <is>
          <t>2026-10-01</t>
        </is>
      </c>
      <c r="B952" t="inlineStr">
        <is>
          <t>Thu</t>
        </is>
      </c>
      <c r="C952" t="inlineStr">
        <is>
          <t>Client</t>
        </is>
      </c>
      <c r="D952" t="inlineStr">
        <is>
          <t>Tiger</t>
        </is>
      </c>
      <c r="E952" t="n">
        <v>1</v>
      </c>
      <c r="F952" t="inlineStr">
        <is>
          <t>OFF</t>
        </is>
      </c>
    </row>
    <row r="953">
      <c r="A953" t="inlineStr">
        <is>
          <t>2026-10-01</t>
        </is>
      </c>
      <c r="B953" t="inlineStr">
        <is>
          <t>Thu</t>
        </is>
      </c>
      <c r="C953" t="inlineStr">
        <is>
          <t>Client</t>
        </is>
      </c>
      <c r="D953" t="inlineStr">
        <is>
          <t>Tiger</t>
        </is>
      </c>
      <c r="E953" t="n">
        <v>2</v>
      </c>
      <c r="F953" t="inlineStr">
        <is>
          <t>OFF</t>
        </is>
      </c>
      <c r="H953" t="inlineStr">
        <is>
          <t>Ivory Tower</t>
        </is>
      </c>
    </row>
    <row r="954">
      <c r="A954" t="inlineStr">
        <is>
          <t>2026-10-01</t>
        </is>
      </c>
      <c r="B954" t="inlineStr">
        <is>
          <t>Thu</t>
        </is>
      </c>
      <c r="C954" t="inlineStr">
        <is>
          <t>Client</t>
        </is>
      </c>
      <c r="D954" t="inlineStr">
        <is>
          <t>Yeoseo</t>
        </is>
      </c>
      <c r="E954" t="n">
        <v>1</v>
      </c>
      <c r="F954" t="inlineStr">
        <is>
          <t>OFF</t>
        </is>
      </c>
      <c r="H954" t="inlineStr">
        <is>
          <t>abandoned land 3
a land of corruption5</t>
        </is>
      </c>
    </row>
    <row r="955">
      <c r="A955" t="inlineStr">
        <is>
          <t>2026-10-01</t>
        </is>
      </c>
      <c r="B955" t="inlineStr">
        <is>
          <t>Thu</t>
        </is>
      </c>
      <c r="C955" t="inlineStr">
        <is>
          <t>Client</t>
        </is>
      </c>
      <c r="D955" t="inlineStr">
        <is>
          <t>Zombie</t>
        </is>
      </c>
      <c r="E955" t="n">
        <v>1</v>
      </c>
      <c r="F955" t="inlineStr">
        <is>
          <t>OFF</t>
        </is>
      </c>
    </row>
    <row r="956">
      <c r="A956" t="inlineStr">
        <is>
          <t>2026-10-01</t>
        </is>
      </c>
      <c r="B956" t="inlineStr">
        <is>
          <t>Thu</t>
        </is>
      </c>
      <c r="C956" t="inlineStr">
        <is>
          <t>Client</t>
        </is>
      </c>
      <c r="D956" t="inlineStr">
        <is>
          <t>Zombie</t>
        </is>
      </c>
      <c r="E956" t="n">
        <v>2</v>
      </c>
      <c r="F956" t="inlineStr">
        <is>
          <t>OFF</t>
        </is>
      </c>
    </row>
    <row r="957">
      <c r="A957" t="inlineStr">
        <is>
          <t>2026-10-01</t>
        </is>
      </c>
      <c r="B957" t="inlineStr">
        <is>
          <t>Thu</t>
        </is>
      </c>
      <c r="C957" t="inlineStr">
        <is>
          <t>Client</t>
        </is>
      </c>
      <c r="D957" t="inlineStr">
        <is>
          <t>Zombie</t>
        </is>
      </c>
      <c r="E957" t="n">
        <v>3</v>
      </c>
      <c r="F957" t="inlineStr">
        <is>
          <t>OFF</t>
        </is>
      </c>
      <c r="H957" t="inlineStr">
        <is>
          <t>Ivory Tower</t>
        </is>
      </c>
    </row>
    <row r="958">
      <c r="A958" t="inlineStr">
        <is>
          <t>2026-10-01</t>
        </is>
      </c>
      <c r="B958" t="inlineStr">
        <is>
          <t>Thu</t>
        </is>
      </c>
      <c r="C958" t="inlineStr">
        <is>
          <t>Farming</t>
        </is>
      </c>
      <c r="D958" t="inlineStr">
        <is>
          <t>Kangaroo</t>
        </is>
      </c>
      <c r="E958" t="n">
        <v>1</v>
      </c>
      <c r="F958" t="inlineStr">
        <is>
          <t>08:00-16:00</t>
        </is>
      </c>
      <c r="H958" t="inlineStr">
        <is>
          <t>Corrupted Land</t>
        </is>
      </c>
    </row>
    <row r="959">
      <c r="A959" t="inlineStr">
        <is>
          <t>2026-10-01</t>
        </is>
      </c>
      <c r="B959" t="inlineStr">
        <is>
          <t>Thu</t>
        </is>
      </c>
      <c r="C959" t="inlineStr">
        <is>
          <t>Farming</t>
        </is>
      </c>
      <c r="D959" t="inlineStr">
        <is>
          <t>Kangaroo</t>
        </is>
      </c>
      <c r="E959" t="n">
        <v>2</v>
      </c>
      <c r="F959" t="inlineStr">
        <is>
          <t>16:00-24:00</t>
        </is>
      </c>
      <c r="H959" t="inlineStr">
        <is>
          <t>Corrupted Land</t>
        </is>
      </c>
    </row>
    <row r="960">
      <c r="A960" t="inlineStr">
        <is>
          <t>2026-10-01</t>
        </is>
      </c>
      <c r="B960" t="inlineStr">
        <is>
          <t>Thu</t>
        </is>
      </c>
      <c r="C960" t="inlineStr">
        <is>
          <t>Farming</t>
        </is>
      </c>
      <c r="D960" t="inlineStr">
        <is>
          <t>Kangaroo</t>
        </is>
      </c>
      <c r="E960" t="n">
        <v>3</v>
      </c>
      <c r="F960" t="inlineStr">
        <is>
          <t>24:00-08:00</t>
        </is>
      </c>
      <c r="H960" t="inlineStr">
        <is>
          <t>Corrupted Land</t>
        </is>
      </c>
    </row>
    <row r="961">
      <c r="A961" t="inlineStr">
        <is>
          <t>2026-10-01</t>
        </is>
      </c>
      <c r="B961" t="inlineStr">
        <is>
          <t>Thu</t>
        </is>
      </c>
      <c r="C961" t="inlineStr">
        <is>
          <t>Farming</t>
        </is>
      </c>
      <c r="D961" t="inlineStr">
        <is>
          <t>Kyoryu</t>
        </is>
      </c>
      <c r="E961" t="n">
        <v>1</v>
      </c>
      <c r="F961" t="inlineStr">
        <is>
          <t>08:00-15:00</t>
        </is>
      </c>
    </row>
    <row r="962">
      <c r="A962" t="inlineStr">
        <is>
          <t>2026-10-01</t>
        </is>
      </c>
      <c r="B962" t="inlineStr">
        <is>
          <t>Thu</t>
        </is>
      </c>
      <c r="C962" t="inlineStr">
        <is>
          <t>Farming</t>
        </is>
      </c>
      <c r="D962" t="inlineStr">
        <is>
          <t>Kyoryu</t>
        </is>
      </c>
      <c r="E962" t="n">
        <v>2</v>
      </c>
      <c r="F962" t="inlineStr">
        <is>
          <t>16:00-24:00</t>
        </is>
      </c>
      <c r="H962" t="inlineStr">
        <is>
          <t>ELMORE &amp; DD</t>
        </is>
      </c>
    </row>
    <row r="963">
      <c r="A963" t="inlineStr">
        <is>
          <t>2026-10-01</t>
        </is>
      </c>
      <c r="B963" t="inlineStr">
        <is>
          <t>Thu</t>
        </is>
      </c>
      <c r="C963" t="inlineStr">
        <is>
          <t>Farming</t>
        </is>
      </c>
      <c r="D963" t="inlineStr">
        <is>
          <t>Kyoryu</t>
        </is>
      </c>
      <c r="E963" t="n">
        <v>3</v>
      </c>
      <c r="F963" t="inlineStr">
        <is>
          <t>24:00-08:00</t>
        </is>
      </c>
      <c r="H963" t="inlineStr">
        <is>
          <t>Elmore</t>
        </is>
      </c>
    </row>
    <row r="964">
      <c r="A964" t="inlineStr">
        <is>
          <t>2026-10-01</t>
        </is>
      </c>
      <c r="B964" t="inlineStr">
        <is>
          <t>Thu</t>
        </is>
      </c>
      <c r="C964" t="inlineStr">
        <is>
          <t>Farming</t>
        </is>
      </c>
      <c r="D964" t="inlineStr">
        <is>
          <t>Marcelo</t>
        </is>
      </c>
      <c r="E964" t="n">
        <v>1</v>
      </c>
      <c r="F964" t="inlineStr">
        <is>
          <t>08:00-16:00</t>
        </is>
      </c>
    </row>
    <row r="965">
      <c r="A965" t="inlineStr">
        <is>
          <t>2026-10-01</t>
        </is>
      </c>
      <c r="B965" t="inlineStr">
        <is>
          <t>Thu</t>
        </is>
      </c>
      <c r="C965" t="inlineStr">
        <is>
          <t>Farming</t>
        </is>
      </c>
      <c r="D965" t="inlineStr">
        <is>
          <t>Marcelo</t>
        </is>
      </c>
      <c r="E965" t="n">
        <v>2</v>
      </c>
      <c r="F965" t="inlineStr">
        <is>
          <t>16:00-24:00</t>
        </is>
      </c>
      <c r="H965" t="inlineStr">
        <is>
          <t>ELMORE &amp; DD</t>
        </is>
      </c>
    </row>
    <row r="966">
      <c r="A966" t="inlineStr">
        <is>
          <t>2026-10-01</t>
        </is>
      </c>
      <c r="B966" t="inlineStr">
        <is>
          <t>Thu</t>
        </is>
      </c>
      <c r="C966" t="inlineStr">
        <is>
          <t>Farming</t>
        </is>
      </c>
      <c r="D966" t="inlineStr">
        <is>
          <t>Marcelo</t>
        </is>
      </c>
      <c r="E966" t="n">
        <v>3</v>
      </c>
      <c r="F966" t="inlineStr">
        <is>
          <t>24:00-08:00</t>
        </is>
      </c>
      <c r="H966" t="inlineStr">
        <is>
          <t>Elmore</t>
        </is>
      </c>
    </row>
    <row r="967">
      <c r="A967" t="inlineStr">
        <is>
          <t>2026-10-01</t>
        </is>
      </c>
      <c r="B967" t="inlineStr">
        <is>
          <t>Thu</t>
        </is>
      </c>
      <c r="C967" t="inlineStr">
        <is>
          <t>Farming</t>
        </is>
      </c>
      <c r="D967" t="inlineStr">
        <is>
          <t>OldBlood</t>
        </is>
      </c>
      <c r="E967" t="n">
        <v>1</v>
      </c>
      <c r="F967" t="inlineStr">
        <is>
          <t>05:00-08:00</t>
        </is>
      </c>
    </row>
    <row r="968">
      <c r="A968" t="inlineStr">
        <is>
          <t>2026-10-01</t>
        </is>
      </c>
      <c r="B968" t="inlineStr">
        <is>
          <t>Thu</t>
        </is>
      </c>
      <c r="C968" t="inlineStr">
        <is>
          <t>Farming</t>
        </is>
      </c>
      <c r="D968" t="inlineStr">
        <is>
          <t>Pele</t>
        </is>
      </c>
      <c r="E968" t="n">
        <v>1</v>
      </c>
      <c r="F968" t="inlineStr">
        <is>
          <t>08:00-16:00</t>
        </is>
      </c>
    </row>
    <row r="969">
      <c r="A969" t="inlineStr">
        <is>
          <t>2026-10-01</t>
        </is>
      </c>
      <c r="B969" t="inlineStr">
        <is>
          <t>Thu</t>
        </is>
      </c>
      <c r="C969" t="inlineStr">
        <is>
          <t>Farming</t>
        </is>
      </c>
      <c r="D969" t="inlineStr">
        <is>
          <t>Pele</t>
        </is>
      </c>
      <c r="E969" t="n">
        <v>2</v>
      </c>
      <c r="F969" t="inlineStr">
        <is>
          <t>16:00-24:00</t>
        </is>
      </c>
      <c r="H969" t="inlineStr">
        <is>
          <t>ANT &amp; ELMORE</t>
        </is>
      </c>
    </row>
    <row r="970">
      <c r="A970" t="inlineStr">
        <is>
          <t>2026-10-01</t>
        </is>
      </c>
      <c r="B970" t="inlineStr">
        <is>
          <t>Thu</t>
        </is>
      </c>
      <c r="C970" t="inlineStr">
        <is>
          <t>Farming</t>
        </is>
      </c>
      <c r="D970" t="inlineStr">
        <is>
          <t>Pele</t>
        </is>
      </c>
      <c r="E970" t="n">
        <v>3</v>
      </c>
      <c r="F970" t="inlineStr">
        <is>
          <t>24:00-08:00</t>
        </is>
      </c>
      <c r="H970" t="inlineStr">
        <is>
          <t>ELMORE</t>
        </is>
      </c>
    </row>
    <row r="971">
      <c r="A971" t="inlineStr">
        <is>
          <t>2026-10-01</t>
        </is>
      </c>
      <c r="B971" t="inlineStr">
        <is>
          <t>Thu</t>
        </is>
      </c>
      <c r="C971" t="inlineStr">
        <is>
          <t>Farming</t>
        </is>
      </c>
      <c r="D971" t="inlineStr">
        <is>
          <t>Ronaldo</t>
        </is>
      </c>
      <c r="E971" t="n">
        <v>1</v>
      </c>
      <c r="F971" t="inlineStr">
        <is>
          <t>08:00-16:00</t>
        </is>
      </c>
    </row>
    <row r="972">
      <c r="A972" t="inlineStr">
        <is>
          <t>2026-10-01</t>
        </is>
      </c>
      <c r="B972" t="inlineStr">
        <is>
          <t>Thu</t>
        </is>
      </c>
      <c r="C972" t="inlineStr">
        <is>
          <t>Farming</t>
        </is>
      </c>
      <c r="D972" t="inlineStr">
        <is>
          <t>Ronaldo</t>
        </is>
      </c>
      <c r="E972" t="n">
        <v>2</v>
      </c>
      <c r="F972" t="inlineStr">
        <is>
          <t>OFF</t>
        </is>
      </c>
      <c r="H972" t="inlineStr">
        <is>
          <t>Ivory Tower 4~5</t>
        </is>
      </c>
    </row>
    <row r="973">
      <c r="A973" t="inlineStr">
        <is>
          <t>2026-10-01</t>
        </is>
      </c>
      <c r="B973" t="inlineStr">
        <is>
          <t>Thu</t>
        </is>
      </c>
      <c r="C973" t="inlineStr">
        <is>
          <t>Farming</t>
        </is>
      </c>
      <c r="D973" t="inlineStr">
        <is>
          <t>Ronaldo</t>
        </is>
      </c>
      <c r="E973" t="n">
        <v>3</v>
      </c>
      <c r="F973" t="inlineStr">
        <is>
          <t>24:00-08:00</t>
        </is>
      </c>
      <c r="H973" t="inlineStr">
        <is>
          <t>Ivory flr4&amp;5</t>
        </is>
      </c>
    </row>
    <row r="974">
      <c r="A974" t="inlineStr">
        <is>
          <t>2026-10-01</t>
        </is>
      </c>
      <c r="B974" t="inlineStr">
        <is>
          <t>Thu</t>
        </is>
      </c>
      <c r="C974" t="inlineStr">
        <is>
          <t>Farming</t>
        </is>
      </c>
      <c r="D974" t="inlineStr">
        <is>
          <t>Sarim</t>
        </is>
      </c>
      <c r="E974" t="n">
        <v>1</v>
      </c>
      <c r="F974" t="inlineStr">
        <is>
          <t>08:00-16:00</t>
        </is>
      </c>
    </row>
    <row r="975">
      <c r="A975" t="inlineStr">
        <is>
          <t>2026-10-01</t>
        </is>
      </c>
      <c r="B975" t="inlineStr">
        <is>
          <t>Thu</t>
        </is>
      </c>
      <c r="C975" t="inlineStr">
        <is>
          <t>Farming</t>
        </is>
      </c>
      <c r="D975" t="inlineStr">
        <is>
          <t>Sarim</t>
        </is>
      </c>
      <c r="E975" t="n">
        <v>2</v>
      </c>
      <c r="F975" t="inlineStr">
        <is>
          <t>16:00-24:00</t>
        </is>
      </c>
      <c r="H975" t="inlineStr">
        <is>
          <t>ELMORE &amp; DD</t>
        </is>
      </c>
    </row>
    <row r="976">
      <c r="A976" t="inlineStr">
        <is>
          <t>2026-10-01</t>
        </is>
      </c>
      <c r="B976" t="inlineStr">
        <is>
          <t>Thu</t>
        </is>
      </c>
      <c r="C976" t="inlineStr">
        <is>
          <t>Farming</t>
        </is>
      </c>
      <c r="D976" t="inlineStr">
        <is>
          <t>Sarim</t>
        </is>
      </c>
      <c r="E976" t="n">
        <v>3</v>
      </c>
      <c r="F976" t="inlineStr">
        <is>
          <t>24:00-08:00</t>
        </is>
      </c>
      <c r="H976" t="inlineStr">
        <is>
          <t>Elmore</t>
        </is>
      </c>
    </row>
    <row r="977">
      <c r="A977" t="inlineStr">
        <is>
          <t>2026-10-01</t>
        </is>
      </c>
      <c r="B977" t="inlineStr">
        <is>
          <t>Thu</t>
        </is>
      </c>
      <c r="C977" t="inlineStr">
        <is>
          <t>Farming</t>
        </is>
      </c>
      <c r="D977" t="inlineStr">
        <is>
          <t>Sinsang</t>
        </is>
      </c>
      <c r="E977" t="n">
        <v>1</v>
      </c>
      <c r="F977" t="inlineStr">
        <is>
          <t>07:00-11:00</t>
        </is>
      </c>
      <c r="H977" t="inlineStr">
        <is>
          <t>Corrrupted Land</t>
        </is>
      </c>
    </row>
    <row r="978">
      <c r="A978" t="inlineStr">
        <is>
          <t>2026-10-01</t>
        </is>
      </c>
      <c r="B978" t="inlineStr">
        <is>
          <t>Thu</t>
        </is>
      </c>
      <c r="C978" t="inlineStr">
        <is>
          <t>Farming</t>
        </is>
      </c>
      <c r="D978" t="inlineStr">
        <is>
          <t>Sudden</t>
        </is>
      </c>
      <c r="E978" t="n">
        <v>1</v>
      </c>
      <c r="F978" t="inlineStr">
        <is>
          <t>08:00-16:00</t>
        </is>
      </c>
    </row>
    <row r="979">
      <c r="A979" t="inlineStr">
        <is>
          <t>2026-10-01</t>
        </is>
      </c>
      <c r="B979" t="inlineStr">
        <is>
          <t>Thu</t>
        </is>
      </c>
      <c r="C979" t="inlineStr">
        <is>
          <t>Farming</t>
        </is>
      </c>
      <c r="D979" t="inlineStr">
        <is>
          <t>Sudden</t>
        </is>
      </c>
      <c r="E979" t="n">
        <v>2</v>
      </c>
      <c r="F979" t="inlineStr">
        <is>
          <t>16:00-24:00</t>
        </is>
      </c>
      <c r="H979" t="inlineStr">
        <is>
          <t>ELMORE &amp; DD</t>
        </is>
      </c>
    </row>
    <row r="980">
      <c r="A980" t="inlineStr">
        <is>
          <t>2026-10-01</t>
        </is>
      </c>
      <c r="B980" t="inlineStr">
        <is>
          <t>Thu</t>
        </is>
      </c>
      <c r="C980" t="inlineStr">
        <is>
          <t>Farming</t>
        </is>
      </c>
      <c r="D980" t="inlineStr">
        <is>
          <t>Sudden</t>
        </is>
      </c>
      <c r="E980" t="n">
        <v>3</v>
      </c>
      <c r="F980" t="inlineStr">
        <is>
          <t>24:00-08:00</t>
        </is>
      </c>
      <c r="H980" t="inlineStr">
        <is>
          <t>Elmore</t>
        </is>
      </c>
    </row>
    <row r="981">
      <c r="A981" t="inlineStr">
        <is>
          <t>2026-10-01</t>
        </is>
      </c>
      <c r="B981" t="inlineStr">
        <is>
          <t>Thu</t>
        </is>
      </c>
      <c r="C981" t="inlineStr">
        <is>
          <t>Farming</t>
        </is>
      </c>
      <c r="D981" t="inlineStr">
        <is>
          <t>Sunsang</t>
        </is>
      </c>
      <c r="E981" t="n">
        <v>1</v>
      </c>
      <c r="F981" t="inlineStr">
        <is>
          <t>OFF</t>
        </is>
      </c>
    </row>
    <row r="982">
      <c r="A982" t="inlineStr">
        <is>
          <t>2026-10-01</t>
        </is>
      </c>
      <c r="B982" t="inlineStr">
        <is>
          <t>Thu</t>
        </is>
      </c>
      <c r="C982" t="inlineStr">
        <is>
          <t>Farming</t>
        </is>
      </c>
      <c r="D982" t="inlineStr">
        <is>
          <t>Sunsang</t>
        </is>
      </c>
      <c r="E982" t="n">
        <v>2</v>
      </c>
      <c r="F982" t="inlineStr">
        <is>
          <t>24:00-08:00</t>
        </is>
      </c>
    </row>
    <row r="983">
      <c r="A983" t="inlineStr">
        <is>
          <t>2026-10-01</t>
        </is>
      </c>
      <c r="B983" t="inlineStr">
        <is>
          <t>Thu</t>
        </is>
      </c>
      <c r="C983" t="inlineStr">
        <is>
          <t>Farming</t>
        </is>
      </c>
      <c r="D983" t="inlineStr">
        <is>
          <t>Taejo</t>
        </is>
      </c>
      <c r="E983" t="n">
        <v>1</v>
      </c>
      <c r="F983" t="inlineStr">
        <is>
          <t>08:00-16:00</t>
        </is>
      </c>
    </row>
    <row r="984">
      <c r="A984" t="inlineStr">
        <is>
          <t>2026-10-01</t>
        </is>
      </c>
      <c r="B984" t="inlineStr">
        <is>
          <t>Thu</t>
        </is>
      </c>
      <c r="C984" t="inlineStr">
        <is>
          <t>Farming</t>
        </is>
      </c>
      <c r="D984" t="inlineStr">
        <is>
          <t>Taejo</t>
        </is>
      </c>
      <c r="E984" t="n">
        <v>2</v>
      </c>
      <c r="F984" t="inlineStr">
        <is>
          <t>16:00-24:00</t>
        </is>
      </c>
      <c r="H984" t="inlineStr">
        <is>
          <t>ELMORE &amp; DD</t>
        </is>
      </c>
    </row>
    <row r="985">
      <c r="A985" t="inlineStr">
        <is>
          <t>2026-10-01</t>
        </is>
      </c>
      <c r="B985" t="inlineStr">
        <is>
          <t>Thu</t>
        </is>
      </c>
      <c r="C985" t="inlineStr">
        <is>
          <t>Farming</t>
        </is>
      </c>
      <c r="D985" t="inlineStr">
        <is>
          <t>Taejo</t>
        </is>
      </c>
      <c r="E985" t="n">
        <v>3</v>
      </c>
      <c r="F985" t="inlineStr">
        <is>
          <t>24:00-08:00</t>
        </is>
      </c>
      <c r="H985" t="inlineStr">
        <is>
          <t>Elmore</t>
        </is>
      </c>
    </row>
    <row r="986">
      <c r="A986" t="inlineStr">
        <is>
          <t>2026-10-02</t>
        </is>
      </c>
      <c r="B986" t="inlineStr">
        <is>
          <t>Fri</t>
        </is>
      </c>
      <c r="C986" t="inlineStr">
        <is>
          <t>Client</t>
        </is>
      </c>
      <c r="D986" t="inlineStr">
        <is>
          <t>ADA</t>
        </is>
      </c>
      <c r="E986" t="n">
        <v>1</v>
      </c>
      <c r="F986" t="inlineStr">
        <is>
          <t>09:00-12:00</t>
        </is>
      </c>
    </row>
    <row r="987">
      <c r="A987" t="inlineStr">
        <is>
          <t>2026-10-02</t>
        </is>
      </c>
      <c r="B987" t="inlineStr">
        <is>
          <t>Fri</t>
        </is>
      </c>
      <c r="C987" t="inlineStr">
        <is>
          <t>Client</t>
        </is>
      </c>
      <c r="D987" t="inlineStr">
        <is>
          <t>ADA</t>
        </is>
      </c>
      <c r="E987" t="n">
        <v>2</v>
      </c>
      <c r="F987" t="inlineStr">
        <is>
          <t>OFF</t>
        </is>
      </c>
    </row>
    <row r="988">
      <c r="A988" t="inlineStr">
        <is>
          <t>2026-10-02</t>
        </is>
      </c>
      <c r="B988" t="inlineStr">
        <is>
          <t>Fri</t>
        </is>
      </c>
      <c r="C988" t="inlineStr">
        <is>
          <t>Client</t>
        </is>
      </c>
      <c r="D988" t="inlineStr">
        <is>
          <t>Alex</t>
        </is>
      </c>
      <c r="E988" t="n">
        <v>1</v>
      </c>
      <c r="F988" t="inlineStr">
        <is>
          <t>08:00-16:00</t>
        </is>
      </c>
      <c r="H988" t="inlineStr">
        <is>
          <t>Ivory Tower 4~5</t>
        </is>
      </c>
    </row>
    <row r="989">
      <c r="A989" t="inlineStr">
        <is>
          <t>2026-10-02</t>
        </is>
      </c>
      <c r="B989" t="inlineStr">
        <is>
          <t>Fri</t>
        </is>
      </c>
      <c r="C989" t="inlineStr">
        <is>
          <t>Client</t>
        </is>
      </c>
      <c r="D989" t="inlineStr">
        <is>
          <t>Alex</t>
        </is>
      </c>
      <c r="E989" t="n">
        <v>2</v>
      </c>
      <c r="F989" t="inlineStr">
        <is>
          <t>16:00-24:00</t>
        </is>
      </c>
      <c r="H989" t="inlineStr">
        <is>
          <t>Ivory Tower 6~7</t>
        </is>
      </c>
    </row>
    <row r="990">
      <c r="A990" t="inlineStr">
        <is>
          <t>2026-10-02</t>
        </is>
      </c>
      <c r="B990" t="inlineStr">
        <is>
          <t>Fri</t>
        </is>
      </c>
      <c r="C990" t="inlineStr">
        <is>
          <t>Client</t>
        </is>
      </c>
      <c r="D990" t="inlineStr">
        <is>
          <t>Alex</t>
        </is>
      </c>
      <c r="E990" t="n">
        <v>3</v>
      </c>
      <c r="F990" t="inlineStr">
        <is>
          <t>24:00-08:00</t>
        </is>
      </c>
      <c r="H990" t="inlineStr">
        <is>
          <t>Ivory Tower 4~5</t>
        </is>
      </c>
    </row>
    <row r="991">
      <c r="A991" t="inlineStr">
        <is>
          <t>2026-10-02</t>
        </is>
      </c>
      <c r="B991" t="inlineStr">
        <is>
          <t>Fri</t>
        </is>
      </c>
      <c r="C991" t="inlineStr">
        <is>
          <t>Client</t>
        </is>
      </c>
      <c r="D991" t="inlineStr">
        <is>
          <t>Beongaebul</t>
        </is>
      </c>
      <c r="E991" t="n">
        <v>1</v>
      </c>
      <c r="F991" t="inlineStr">
        <is>
          <t>01:00-09:00</t>
        </is>
      </c>
    </row>
    <row r="992">
      <c r="A992" t="inlineStr">
        <is>
          <t>2026-10-02</t>
        </is>
      </c>
      <c r="B992" t="inlineStr">
        <is>
          <t>Fri</t>
        </is>
      </c>
      <c r="C992" t="inlineStr">
        <is>
          <t>Client</t>
        </is>
      </c>
      <c r="D992" t="inlineStr">
        <is>
          <t>Captain</t>
        </is>
      </c>
      <c r="E992" t="n">
        <v>1</v>
      </c>
      <c r="F992" t="inlineStr">
        <is>
          <t>OFF</t>
        </is>
      </c>
    </row>
    <row r="993">
      <c r="A993" t="inlineStr">
        <is>
          <t>2026-10-02</t>
        </is>
      </c>
      <c r="B993" t="inlineStr">
        <is>
          <t>Fri</t>
        </is>
      </c>
      <c r="C993" t="inlineStr">
        <is>
          <t>Client</t>
        </is>
      </c>
      <c r="D993" t="inlineStr">
        <is>
          <t>Captain</t>
        </is>
      </c>
      <c r="E993" t="n">
        <v>2</v>
      </c>
      <c r="F993" t="inlineStr">
        <is>
          <t>OFF</t>
        </is>
      </c>
    </row>
    <row r="994">
      <c r="A994" t="inlineStr">
        <is>
          <t>2026-10-02</t>
        </is>
      </c>
      <c r="B994" t="inlineStr">
        <is>
          <t>Fri</t>
        </is>
      </c>
      <c r="C994" t="inlineStr">
        <is>
          <t>Client</t>
        </is>
      </c>
      <c r="D994" t="inlineStr">
        <is>
          <t>Dalo</t>
        </is>
      </c>
      <c r="E994" t="n">
        <v>1</v>
      </c>
      <c r="F994" t="inlineStr">
        <is>
          <t>OFF</t>
        </is>
      </c>
    </row>
    <row r="995">
      <c r="A995" t="inlineStr">
        <is>
          <t>2026-10-02</t>
        </is>
      </c>
      <c r="B995" t="inlineStr">
        <is>
          <t>Fri</t>
        </is>
      </c>
      <c r="C995" t="inlineStr">
        <is>
          <t>Client</t>
        </is>
      </c>
      <c r="D995" t="inlineStr">
        <is>
          <t>Dalo</t>
        </is>
      </c>
      <c r="E995" t="n">
        <v>2</v>
      </c>
      <c r="F995" t="inlineStr">
        <is>
          <t>OFF</t>
        </is>
      </c>
    </row>
    <row r="996">
      <c r="A996" t="inlineStr">
        <is>
          <t>2026-10-02</t>
        </is>
      </c>
      <c r="B996" t="inlineStr">
        <is>
          <t>Fri</t>
        </is>
      </c>
      <c r="C996" t="inlineStr">
        <is>
          <t>Client</t>
        </is>
      </c>
      <c r="D996" t="inlineStr">
        <is>
          <t>Dalo</t>
        </is>
      </c>
      <c r="E996" t="n">
        <v>3</v>
      </c>
      <c r="F996" t="inlineStr">
        <is>
          <t>OFF</t>
        </is>
      </c>
    </row>
    <row r="997">
      <c r="A997" t="inlineStr">
        <is>
          <t>2026-10-02</t>
        </is>
      </c>
      <c r="B997" t="inlineStr">
        <is>
          <t>Fri</t>
        </is>
      </c>
      <c r="C997" t="inlineStr">
        <is>
          <t>Client</t>
        </is>
      </c>
      <c r="D997" t="inlineStr">
        <is>
          <t>Dodam</t>
        </is>
      </c>
      <c r="E997" t="n">
        <v>1</v>
      </c>
      <c r="F997" t="inlineStr">
        <is>
          <t>23:00-11:00</t>
        </is>
      </c>
      <c r="H997" t="inlineStr">
        <is>
          <t>Island of Dreams</t>
        </is>
      </c>
    </row>
    <row r="998">
      <c r="A998" t="inlineStr">
        <is>
          <t>2026-10-02</t>
        </is>
      </c>
      <c r="B998" t="inlineStr">
        <is>
          <t>Fri</t>
        </is>
      </c>
      <c r="C998" t="inlineStr">
        <is>
          <t>Client</t>
        </is>
      </c>
      <c r="D998" t="inlineStr">
        <is>
          <t>Dodam</t>
        </is>
      </c>
      <c r="E998" t="n">
        <v>2</v>
      </c>
      <c r="F998" t="inlineStr">
        <is>
          <t>07:00-19:00</t>
        </is>
      </c>
    </row>
    <row r="999">
      <c r="A999" t="inlineStr">
        <is>
          <t>2026-10-02</t>
        </is>
      </c>
      <c r="B999" t="inlineStr">
        <is>
          <t>Fri</t>
        </is>
      </c>
      <c r="C999" t="inlineStr">
        <is>
          <t>Client</t>
        </is>
      </c>
      <c r="D999" t="inlineStr">
        <is>
          <t>Dol</t>
        </is>
      </c>
      <c r="E999" t="n">
        <v>1</v>
      </c>
      <c r="F999" t="inlineStr">
        <is>
          <t>24:00-08:00</t>
        </is>
      </c>
      <c r="H999" t="inlineStr">
        <is>
          <t>Dragon Valley</t>
        </is>
      </c>
    </row>
    <row r="1000">
      <c r="A1000" t="inlineStr">
        <is>
          <t>2026-10-02</t>
        </is>
      </c>
      <c r="B1000" t="inlineStr">
        <is>
          <t>Fri</t>
        </is>
      </c>
      <c r="C1000" t="inlineStr">
        <is>
          <t>Client</t>
        </is>
      </c>
      <c r="D1000" t="inlineStr">
        <is>
          <t>Dol</t>
        </is>
      </c>
      <c r="E1000" t="n">
        <v>2</v>
      </c>
      <c r="F1000" t="inlineStr">
        <is>
          <t>OFF</t>
        </is>
      </c>
    </row>
    <row r="1001">
      <c r="A1001" t="inlineStr">
        <is>
          <t>2026-10-02</t>
        </is>
      </c>
      <c r="B1001" t="inlineStr">
        <is>
          <t>Fri</t>
        </is>
      </c>
      <c r="C1001" t="inlineStr">
        <is>
          <t>Client</t>
        </is>
      </c>
      <c r="D1001" t="inlineStr">
        <is>
          <t>Doma</t>
        </is>
      </c>
      <c r="E1001" t="n">
        <v>1</v>
      </c>
      <c r="F1001" t="inlineStr">
        <is>
          <t>OFF</t>
        </is>
      </c>
    </row>
    <row r="1002">
      <c r="A1002" t="inlineStr">
        <is>
          <t>2026-10-02</t>
        </is>
      </c>
      <c r="B1002" t="inlineStr">
        <is>
          <t>Fri</t>
        </is>
      </c>
      <c r="C1002" t="inlineStr">
        <is>
          <t>Client</t>
        </is>
      </c>
      <c r="D1002" t="inlineStr">
        <is>
          <t>Doma</t>
        </is>
      </c>
      <c r="E1002" t="n">
        <v>2</v>
      </c>
      <c r="F1002" t="inlineStr">
        <is>
          <t>23:00-07:00</t>
        </is>
      </c>
      <c r="H1002" t="inlineStr">
        <is>
          <t>Ivory Tower</t>
        </is>
      </c>
    </row>
    <row r="1003">
      <c r="A1003" t="inlineStr">
        <is>
          <t>2026-10-02</t>
        </is>
      </c>
      <c r="B1003" t="inlineStr">
        <is>
          <t>Fri</t>
        </is>
      </c>
      <c r="C1003" t="inlineStr">
        <is>
          <t>Client</t>
        </is>
      </c>
      <c r="D1003" t="inlineStr">
        <is>
          <t>Duga</t>
        </is>
      </c>
      <c r="E1003" t="n">
        <v>1</v>
      </c>
      <c r="F1003" t="inlineStr">
        <is>
          <t>07:00-15:00</t>
        </is>
      </c>
      <c r="H1003" t="inlineStr">
        <is>
          <t>Oman/ Ivory Tower</t>
        </is>
      </c>
    </row>
    <row r="1004">
      <c r="A1004" t="inlineStr">
        <is>
          <t>2026-10-02</t>
        </is>
      </c>
      <c r="B1004" t="inlineStr">
        <is>
          <t>Fri</t>
        </is>
      </c>
      <c r="C1004" t="inlineStr">
        <is>
          <t>Client</t>
        </is>
      </c>
      <c r="D1004" t="inlineStr">
        <is>
          <t>Elf</t>
        </is>
      </c>
      <c r="E1004" t="n">
        <v>1</v>
      </c>
      <c r="F1004" t="inlineStr">
        <is>
          <t>OFF</t>
        </is>
      </c>
    </row>
    <row r="1005">
      <c r="A1005" t="inlineStr">
        <is>
          <t>2026-10-02</t>
        </is>
      </c>
      <c r="B1005" t="inlineStr">
        <is>
          <t>Fri</t>
        </is>
      </c>
      <c r="C1005" t="inlineStr">
        <is>
          <t>Client</t>
        </is>
      </c>
      <c r="D1005" t="inlineStr">
        <is>
          <t>Geonbae</t>
        </is>
      </c>
      <c r="E1005" t="n">
        <v>1</v>
      </c>
      <c r="F1005" t="inlineStr">
        <is>
          <t>OFF</t>
        </is>
      </c>
    </row>
    <row r="1006">
      <c r="A1006" t="inlineStr">
        <is>
          <t>2026-10-02</t>
        </is>
      </c>
      <c r="B1006" t="inlineStr">
        <is>
          <t>Fri</t>
        </is>
      </c>
      <c r="C1006" t="inlineStr">
        <is>
          <t>Client</t>
        </is>
      </c>
      <c r="D1006" t="inlineStr">
        <is>
          <t>Geonbae</t>
        </is>
      </c>
      <c r="E1006" t="n">
        <v>2</v>
      </c>
      <c r="F1006" t="inlineStr">
        <is>
          <t>23:00-07:00</t>
        </is>
      </c>
      <c r="H1006" t="inlineStr">
        <is>
          <t>Ivory Tower</t>
        </is>
      </c>
    </row>
    <row r="1007">
      <c r="A1007" t="inlineStr">
        <is>
          <t>2026-10-02</t>
        </is>
      </c>
      <c r="B1007" t="inlineStr">
        <is>
          <t>Fri</t>
        </is>
      </c>
      <c r="C1007" t="inlineStr">
        <is>
          <t>Client</t>
        </is>
      </c>
      <c r="D1007" t="inlineStr">
        <is>
          <t>Goop</t>
        </is>
      </c>
      <c r="E1007" t="n">
        <v>1</v>
      </c>
      <c r="F1007" t="inlineStr">
        <is>
          <t>OFF</t>
        </is>
      </c>
    </row>
    <row r="1008">
      <c r="A1008" t="inlineStr">
        <is>
          <t>2026-10-02</t>
        </is>
      </c>
      <c r="B1008" t="inlineStr">
        <is>
          <t>Fri</t>
        </is>
      </c>
      <c r="C1008" t="inlineStr">
        <is>
          <t>Client</t>
        </is>
      </c>
      <c r="D1008" t="inlineStr">
        <is>
          <t>Heon</t>
        </is>
      </c>
      <c r="E1008" t="n">
        <v>1</v>
      </c>
      <c r="F1008" t="inlineStr">
        <is>
          <t>OFF</t>
        </is>
      </c>
      <c r="H1008" t="inlineStr">
        <is>
          <t>Abandoned Land (Abyss) 6
ivory tower 2</t>
        </is>
      </c>
    </row>
    <row r="1009">
      <c r="A1009" t="inlineStr">
        <is>
          <t>2026-10-02</t>
        </is>
      </c>
      <c r="B1009" t="inlineStr">
        <is>
          <t>Fri</t>
        </is>
      </c>
      <c r="C1009" t="inlineStr">
        <is>
          <t>Client</t>
        </is>
      </c>
      <c r="D1009" t="inlineStr">
        <is>
          <t>Jjuni</t>
        </is>
      </c>
      <c r="E1009" t="n">
        <v>1</v>
      </c>
      <c r="F1009" t="inlineStr">
        <is>
          <t>13:00-21:00</t>
        </is>
      </c>
    </row>
    <row r="1010">
      <c r="A1010" t="inlineStr">
        <is>
          <t>2026-10-02</t>
        </is>
      </c>
      <c r="B1010" t="inlineStr">
        <is>
          <t>Fri</t>
        </is>
      </c>
      <c r="C1010" t="inlineStr">
        <is>
          <t>Client</t>
        </is>
      </c>
      <c r="D1010" t="inlineStr">
        <is>
          <t>Jjuni</t>
        </is>
      </c>
      <c r="E1010" t="n">
        <v>2</v>
      </c>
      <c r="F1010" t="inlineStr">
        <is>
          <t>OFF</t>
        </is>
      </c>
    </row>
    <row r="1011">
      <c r="A1011" t="inlineStr">
        <is>
          <t>2026-10-02</t>
        </is>
      </c>
      <c r="B1011" t="inlineStr">
        <is>
          <t>Fri</t>
        </is>
      </c>
      <c r="C1011" t="inlineStr">
        <is>
          <t>Client</t>
        </is>
      </c>
      <c r="D1011" t="inlineStr">
        <is>
          <t>Jjuni</t>
        </is>
      </c>
      <c r="E1011" t="n">
        <v>3</v>
      </c>
      <c r="F1011" t="inlineStr">
        <is>
          <t>OFF</t>
        </is>
      </c>
      <c r="H1011" t="inlineStr">
        <is>
          <t>Ivory Tower</t>
        </is>
      </c>
    </row>
    <row r="1012">
      <c r="A1012" t="inlineStr">
        <is>
          <t>2026-10-02</t>
        </is>
      </c>
      <c r="B1012" t="inlineStr">
        <is>
          <t>Fri</t>
        </is>
      </c>
      <c r="C1012" t="inlineStr">
        <is>
          <t>Client</t>
        </is>
      </c>
      <c r="D1012" t="inlineStr">
        <is>
          <t>Jo</t>
        </is>
      </c>
      <c r="E1012" t="n">
        <v>1</v>
      </c>
      <c r="F1012" t="inlineStr">
        <is>
          <t>OFF</t>
        </is>
      </c>
    </row>
    <row r="1013">
      <c r="A1013" t="inlineStr">
        <is>
          <t>2026-10-02</t>
        </is>
      </c>
      <c r="B1013" t="inlineStr">
        <is>
          <t>Fri</t>
        </is>
      </c>
      <c r="C1013" t="inlineStr">
        <is>
          <t>Client</t>
        </is>
      </c>
      <c r="D1013" t="inlineStr">
        <is>
          <t>Lammy Queen</t>
        </is>
      </c>
      <c r="E1013" t="n">
        <v>1</v>
      </c>
      <c r="F1013" t="inlineStr">
        <is>
          <t>OFF</t>
        </is>
      </c>
    </row>
    <row r="1014">
      <c r="A1014" t="inlineStr">
        <is>
          <t>2026-10-02</t>
        </is>
      </c>
      <c r="B1014" t="inlineStr">
        <is>
          <t>Fri</t>
        </is>
      </c>
      <c r="C1014" t="inlineStr">
        <is>
          <t>Client</t>
        </is>
      </c>
      <c r="D1014" t="inlineStr">
        <is>
          <t>Lammy Queen</t>
        </is>
      </c>
      <c r="E1014" t="n">
        <v>2</v>
      </c>
      <c r="F1014" t="inlineStr">
        <is>
          <t>01:00-09:00</t>
        </is>
      </c>
      <c r="H1014" t="inlineStr">
        <is>
          <t>Abandon Land</t>
        </is>
      </c>
    </row>
    <row r="1015">
      <c r="A1015" t="inlineStr">
        <is>
          <t>2026-10-02</t>
        </is>
      </c>
      <c r="B1015" t="inlineStr">
        <is>
          <t>Fri</t>
        </is>
      </c>
      <c r="C1015" t="inlineStr">
        <is>
          <t>Client</t>
        </is>
      </c>
      <c r="D1015" t="inlineStr">
        <is>
          <t>Lolly</t>
        </is>
      </c>
      <c r="E1015" t="n">
        <v>1</v>
      </c>
      <c r="F1015" t="inlineStr">
        <is>
          <t>06:00-16:00</t>
        </is>
      </c>
      <c r="H1015" t="inlineStr">
        <is>
          <t>abandoned land 3
a land of corruption5</t>
        </is>
      </c>
    </row>
    <row r="1016">
      <c r="A1016" t="inlineStr">
        <is>
          <t>2026-10-02</t>
        </is>
      </c>
      <c r="B1016" t="inlineStr">
        <is>
          <t>Fri</t>
        </is>
      </c>
      <c r="C1016" t="inlineStr">
        <is>
          <t>Client</t>
        </is>
      </c>
      <c r="D1016" t="inlineStr">
        <is>
          <t>Mukkbo</t>
        </is>
      </c>
      <c r="E1016" t="n">
        <v>1</v>
      </c>
      <c r="F1016" t="inlineStr">
        <is>
          <t>OFF</t>
        </is>
      </c>
    </row>
    <row r="1017">
      <c r="A1017" t="inlineStr">
        <is>
          <t>2026-10-02</t>
        </is>
      </c>
      <c r="B1017" t="inlineStr">
        <is>
          <t>Fri</t>
        </is>
      </c>
      <c r="C1017" t="inlineStr">
        <is>
          <t>Client</t>
        </is>
      </c>
      <c r="D1017" t="inlineStr">
        <is>
          <t>Mukkbo</t>
        </is>
      </c>
      <c r="E1017" t="n">
        <v>2</v>
      </c>
      <c r="F1017" t="inlineStr">
        <is>
          <t>OFF</t>
        </is>
      </c>
    </row>
    <row r="1018">
      <c r="A1018" t="inlineStr">
        <is>
          <t>2026-10-02</t>
        </is>
      </c>
      <c r="B1018" t="inlineStr">
        <is>
          <t>Fri</t>
        </is>
      </c>
      <c r="C1018" t="inlineStr">
        <is>
          <t>Client</t>
        </is>
      </c>
      <c r="D1018" t="inlineStr">
        <is>
          <t>Munjin</t>
        </is>
      </c>
      <c r="E1018" t="n">
        <v>1</v>
      </c>
      <c r="F1018" t="inlineStr">
        <is>
          <t>OFF</t>
        </is>
      </c>
    </row>
    <row r="1019">
      <c r="A1019" t="inlineStr">
        <is>
          <t>2026-10-02</t>
        </is>
      </c>
      <c r="B1019" t="inlineStr">
        <is>
          <t>Fri</t>
        </is>
      </c>
      <c r="C1019" t="inlineStr">
        <is>
          <t>Client</t>
        </is>
      </c>
      <c r="D1019" t="inlineStr">
        <is>
          <t>Neburegi</t>
        </is>
      </c>
      <c r="E1019" t="n">
        <v>1</v>
      </c>
      <c r="F1019" t="inlineStr">
        <is>
          <t>OFF</t>
        </is>
      </c>
    </row>
    <row r="1020">
      <c r="A1020" t="inlineStr">
        <is>
          <t>2026-10-02</t>
        </is>
      </c>
      <c r="B1020" t="inlineStr">
        <is>
          <t>Fri</t>
        </is>
      </c>
      <c r="C1020" t="inlineStr">
        <is>
          <t>Client</t>
        </is>
      </c>
      <c r="D1020" t="inlineStr">
        <is>
          <t>Olleh</t>
        </is>
      </c>
      <c r="E1020" t="n">
        <v>1</v>
      </c>
      <c r="F1020" t="inlineStr">
        <is>
          <t>OFF</t>
        </is>
      </c>
    </row>
    <row r="1021">
      <c r="A1021" t="inlineStr">
        <is>
          <t>2026-10-02</t>
        </is>
      </c>
      <c r="B1021" t="inlineStr">
        <is>
          <t>Fri</t>
        </is>
      </c>
      <c r="C1021" t="inlineStr">
        <is>
          <t>Client</t>
        </is>
      </c>
      <c r="D1021" t="inlineStr">
        <is>
          <t>Olleh</t>
        </is>
      </c>
      <c r="E1021" t="n">
        <v>2</v>
      </c>
      <c r="F1021" t="inlineStr">
        <is>
          <t>23:00-11:00</t>
        </is>
      </c>
      <c r="H1021" t="inlineStr">
        <is>
          <t>Ivory Tower</t>
        </is>
      </c>
    </row>
    <row r="1022">
      <c r="A1022" t="inlineStr">
        <is>
          <t>2026-10-02</t>
        </is>
      </c>
      <c r="B1022" t="inlineStr">
        <is>
          <t>Fri</t>
        </is>
      </c>
      <c r="C1022" t="inlineStr">
        <is>
          <t>Client</t>
        </is>
      </c>
      <c r="D1022" t="inlineStr">
        <is>
          <t>Perez</t>
        </is>
      </c>
      <c r="E1022" t="n">
        <v>1</v>
      </c>
      <c r="F1022" t="inlineStr">
        <is>
          <t>08:00-16:00</t>
        </is>
      </c>
    </row>
    <row r="1023">
      <c r="A1023" t="inlineStr">
        <is>
          <t>2026-10-02</t>
        </is>
      </c>
      <c r="B1023" t="inlineStr">
        <is>
          <t>Fri</t>
        </is>
      </c>
      <c r="C1023" t="inlineStr">
        <is>
          <t>Client</t>
        </is>
      </c>
      <c r="D1023" t="inlineStr">
        <is>
          <t>Perez</t>
        </is>
      </c>
      <c r="E1023" t="n">
        <v>2</v>
      </c>
      <c r="F1023" t="inlineStr">
        <is>
          <t>13:00-21:00</t>
        </is>
      </c>
      <c r="H1023" t="inlineStr">
        <is>
          <t>LAND OF FALLEN / SPATOY</t>
        </is>
      </c>
    </row>
    <row r="1024">
      <c r="A1024" t="inlineStr">
        <is>
          <t>2026-10-02</t>
        </is>
      </c>
      <c r="B1024" t="inlineStr">
        <is>
          <t>Fri</t>
        </is>
      </c>
      <c r="C1024" t="inlineStr">
        <is>
          <t>Client</t>
        </is>
      </c>
      <c r="D1024" t="inlineStr">
        <is>
          <t>Perez</t>
        </is>
      </c>
      <c r="E1024" t="n">
        <v>3</v>
      </c>
      <c r="F1024" t="inlineStr">
        <is>
          <t>21:00-05:00</t>
        </is>
      </c>
      <c r="H1024" t="inlineStr">
        <is>
          <t>Abandon Land</t>
        </is>
      </c>
    </row>
    <row r="1025">
      <c r="A1025" t="inlineStr">
        <is>
          <t>2026-10-02</t>
        </is>
      </c>
      <c r="B1025" t="inlineStr">
        <is>
          <t>Fri</t>
        </is>
      </c>
      <c r="C1025" t="inlineStr">
        <is>
          <t>Client</t>
        </is>
      </c>
      <c r="D1025" t="inlineStr">
        <is>
          <t>Power20</t>
        </is>
      </c>
      <c r="E1025" t="n">
        <v>1</v>
      </c>
      <c r="F1025" t="inlineStr">
        <is>
          <t>10:00-20:00</t>
        </is>
      </c>
    </row>
    <row r="1026">
      <c r="A1026" t="inlineStr">
        <is>
          <t>2026-10-02</t>
        </is>
      </c>
      <c r="B1026" t="inlineStr">
        <is>
          <t>Fri</t>
        </is>
      </c>
      <c r="C1026" t="inlineStr">
        <is>
          <t>Client</t>
        </is>
      </c>
      <c r="D1026" t="inlineStr">
        <is>
          <t>Power20</t>
        </is>
      </c>
      <c r="E1026" t="n">
        <v>2</v>
      </c>
      <c r="F1026" t="inlineStr">
        <is>
          <t>OFF</t>
        </is>
      </c>
    </row>
    <row r="1027">
      <c r="A1027" t="inlineStr">
        <is>
          <t>2026-10-02</t>
        </is>
      </c>
      <c r="B1027" t="inlineStr">
        <is>
          <t>Fri</t>
        </is>
      </c>
      <c r="C1027" t="inlineStr">
        <is>
          <t>Client</t>
        </is>
      </c>
      <c r="D1027" t="inlineStr">
        <is>
          <t>Power20</t>
        </is>
      </c>
      <c r="E1027" t="n">
        <v>3</v>
      </c>
      <c r="F1027" t="inlineStr">
        <is>
          <t>02:00-10:00</t>
        </is>
      </c>
      <c r="H1027" t="inlineStr">
        <is>
          <t>Ivory Tower</t>
        </is>
      </c>
    </row>
    <row r="1028">
      <c r="A1028" t="inlineStr">
        <is>
          <t>2026-10-02</t>
        </is>
      </c>
      <c r="B1028" t="inlineStr">
        <is>
          <t>Fri</t>
        </is>
      </c>
      <c r="C1028" t="inlineStr">
        <is>
          <t>Client</t>
        </is>
      </c>
      <c r="D1028" t="inlineStr">
        <is>
          <t>Real Madrid</t>
        </is>
      </c>
      <c r="E1028" t="n">
        <v>1</v>
      </c>
      <c r="F1028" t="inlineStr">
        <is>
          <t>24:00-08:00</t>
        </is>
      </c>
      <c r="H1028" t="inlineStr">
        <is>
          <t>Ivory Tower</t>
        </is>
      </c>
    </row>
    <row r="1029">
      <c r="A1029" t="inlineStr">
        <is>
          <t>2026-10-02</t>
        </is>
      </c>
      <c r="B1029" t="inlineStr">
        <is>
          <t>Fri</t>
        </is>
      </c>
      <c r="C1029" t="inlineStr">
        <is>
          <t>Client</t>
        </is>
      </c>
      <c r="D1029" t="inlineStr">
        <is>
          <t>Real Madrid</t>
        </is>
      </c>
      <c r="E1029" t="n">
        <v>2</v>
      </c>
      <c r="F1029" t="inlineStr">
        <is>
          <t>OFF</t>
        </is>
      </c>
      <c r="H1029" t="inlineStr">
        <is>
          <t>Ivory Tower</t>
        </is>
      </c>
    </row>
    <row r="1030">
      <c r="A1030" t="inlineStr">
        <is>
          <t>2026-10-02</t>
        </is>
      </c>
      <c r="B1030" t="inlineStr">
        <is>
          <t>Fri</t>
        </is>
      </c>
      <c r="C1030" t="inlineStr">
        <is>
          <t>Client</t>
        </is>
      </c>
      <c r="D1030" t="inlineStr">
        <is>
          <t>Real Madrid</t>
        </is>
      </c>
      <c r="E1030" t="n">
        <v>3</v>
      </c>
      <c r="F1030" t="inlineStr">
        <is>
          <t>OFF</t>
        </is>
      </c>
    </row>
    <row r="1031">
      <c r="A1031" t="inlineStr">
        <is>
          <t>2026-10-02</t>
        </is>
      </c>
      <c r="B1031" t="inlineStr">
        <is>
          <t>Fri</t>
        </is>
      </c>
      <c r="C1031" t="inlineStr">
        <is>
          <t>Client</t>
        </is>
      </c>
      <c r="D1031" t="inlineStr">
        <is>
          <t>Return</t>
        </is>
      </c>
      <c r="E1031" t="n">
        <v>1</v>
      </c>
      <c r="F1031" t="inlineStr">
        <is>
          <t>03:00-11:00</t>
        </is>
      </c>
      <c r="H1031" t="inlineStr">
        <is>
          <t>Ivory Tower</t>
        </is>
      </c>
    </row>
    <row r="1032">
      <c r="A1032" t="inlineStr">
        <is>
          <t>2026-10-02</t>
        </is>
      </c>
      <c r="B1032" t="inlineStr">
        <is>
          <t>Fri</t>
        </is>
      </c>
      <c r="C1032" t="inlineStr">
        <is>
          <t>Client</t>
        </is>
      </c>
      <c r="D1032" t="inlineStr">
        <is>
          <t>Road</t>
        </is>
      </c>
      <c r="E1032" t="n">
        <v>1</v>
      </c>
      <c r="F1032" t="inlineStr">
        <is>
          <t>OFF</t>
        </is>
      </c>
    </row>
    <row r="1033">
      <c r="A1033" t="inlineStr">
        <is>
          <t>2026-10-02</t>
        </is>
      </c>
      <c r="B1033" t="inlineStr">
        <is>
          <t>Fri</t>
        </is>
      </c>
      <c r="C1033" t="inlineStr">
        <is>
          <t>Client</t>
        </is>
      </c>
      <c r="D1033" t="inlineStr">
        <is>
          <t>SSEN</t>
        </is>
      </c>
      <c r="E1033" t="n">
        <v>1</v>
      </c>
      <c r="F1033" t="inlineStr">
        <is>
          <t>07:00-19:00</t>
        </is>
      </c>
    </row>
    <row r="1034">
      <c r="A1034" t="inlineStr">
        <is>
          <t>2026-10-02</t>
        </is>
      </c>
      <c r="B1034" t="inlineStr">
        <is>
          <t>Fri</t>
        </is>
      </c>
      <c r="C1034" t="inlineStr">
        <is>
          <t>Client</t>
        </is>
      </c>
      <c r="D1034" t="inlineStr">
        <is>
          <t>Tiger</t>
        </is>
      </c>
      <c r="E1034" t="n">
        <v>1</v>
      </c>
      <c r="F1034" t="inlineStr">
        <is>
          <t>OFF</t>
        </is>
      </c>
    </row>
    <row r="1035">
      <c r="A1035" t="inlineStr">
        <is>
          <t>2026-10-02</t>
        </is>
      </c>
      <c r="B1035" t="inlineStr">
        <is>
          <t>Fri</t>
        </is>
      </c>
      <c r="C1035" t="inlineStr">
        <is>
          <t>Client</t>
        </is>
      </c>
      <c r="D1035" t="inlineStr">
        <is>
          <t>Tiger</t>
        </is>
      </c>
      <c r="E1035" t="n">
        <v>2</v>
      </c>
      <c r="F1035" t="inlineStr">
        <is>
          <t>OFF</t>
        </is>
      </c>
      <c r="H1035" t="inlineStr">
        <is>
          <t>Ivory Tower</t>
        </is>
      </c>
    </row>
    <row r="1036">
      <c r="A1036" t="inlineStr">
        <is>
          <t>2026-10-02</t>
        </is>
      </c>
      <c r="B1036" t="inlineStr">
        <is>
          <t>Fri</t>
        </is>
      </c>
      <c r="C1036" t="inlineStr">
        <is>
          <t>Client</t>
        </is>
      </c>
      <c r="D1036" t="inlineStr">
        <is>
          <t>Yeoseo</t>
        </is>
      </c>
      <c r="E1036" t="n">
        <v>1</v>
      </c>
      <c r="F1036" t="inlineStr">
        <is>
          <t>OFF</t>
        </is>
      </c>
      <c r="H1036" t="inlineStr">
        <is>
          <t>abandoned land 3
a land of corruption5</t>
        </is>
      </c>
    </row>
    <row r="1037">
      <c r="A1037" t="inlineStr">
        <is>
          <t>2026-10-02</t>
        </is>
      </c>
      <c r="B1037" t="inlineStr">
        <is>
          <t>Fri</t>
        </is>
      </c>
      <c r="C1037" t="inlineStr">
        <is>
          <t>Client</t>
        </is>
      </c>
      <c r="D1037" t="inlineStr">
        <is>
          <t>Zombie</t>
        </is>
      </c>
      <c r="E1037" t="n">
        <v>1</v>
      </c>
      <c r="F1037" t="inlineStr">
        <is>
          <t>OFF</t>
        </is>
      </c>
    </row>
    <row r="1038">
      <c r="A1038" t="inlineStr">
        <is>
          <t>2026-10-02</t>
        </is>
      </c>
      <c r="B1038" t="inlineStr">
        <is>
          <t>Fri</t>
        </is>
      </c>
      <c r="C1038" t="inlineStr">
        <is>
          <t>Client</t>
        </is>
      </c>
      <c r="D1038" t="inlineStr">
        <is>
          <t>Zombie</t>
        </is>
      </c>
      <c r="E1038" t="n">
        <v>2</v>
      </c>
      <c r="F1038" t="inlineStr">
        <is>
          <t>OFF</t>
        </is>
      </c>
    </row>
    <row r="1039">
      <c r="A1039" t="inlineStr">
        <is>
          <t>2026-10-02</t>
        </is>
      </c>
      <c r="B1039" t="inlineStr">
        <is>
          <t>Fri</t>
        </is>
      </c>
      <c r="C1039" t="inlineStr">
        <is>
          <t>Client</t>
        </is>
      </c>
      <c r="D1039" t="inlineStr">
        <is>
          <t>Zombie</t>
        </is>
      </c>
      <c r="E1039" t="n">
        <v>3</v>
      </c>
      <c r="F1039" t="inlineStr">
        <is>
          <t>OFF</t>
        </is>
      </c>
      <c r="H1039" t="inlineStr">
        <is>
          <t>Ivory Tower</t>
        </is>
      </c>
    </row>
    <row r="1040">
      <c r="A1040" t="inlineStr">
        <is>
          <t>2026-10-02</t>
        </is>
      </c>
      <c r="B1040" t="inlineStr">
        <is>
          <t>Fri</t>
        </is>
      </c>
      <c r="C1040" t="inlineStr">
        <is>
          <t>Farming</t>
        </is>
      </c>
      <c r="D1040" t="inlineStr">
        <is>
          <t>Kangaroo</t>
        </is>
      </c>
      <c r="E1040" t="n">
        <v>1</v>
      </c>
      <c r="F1040" t="inlineStr">
        <is>
          <t>08:00-16:00</t>
        </is>
      </c>
      <c r="H1040" t="inlineStr">
        <is>
          <t>Corrupted Land</t>
        </is>
      </c>
    </row>
    <row r="1041">
      <c r="A1041" t="inlineStr">
        <is>
          <t>2026-10-02</t>
        </is>
      </c>
      <c r="B1041" t="inlineStr">
        <is>
          <t>Fri</t>
        </is>
      </c>
      <c r="C1041" t="inlineStr">
        <is>
          <t>Farming</t>
        </is>
      </c>
      <c r="D1041" t="inlineStr">
        <is>
          <t>Kangaroo</t>
        </is>
      </c>
      <c r="E1041" t="n">
        <v>2</v>
      </c>
      <c r="F1041" t="inlineStr">
        <is>
          <t>16:00-24:00</t>
        </is>
      </c>
      <c r="H1041" t="inlineStr">
        <is>
          <t>Corrupted Land</t>
        </is>
      </c>
    </row>
    <row r="1042">
      <c r="A1042" t="inlineStr">
        <is>
          <t>2026-10-02</t>
        </is>
      </c>
      <c r="B1042" t="inlineStr">
        <is>
          <t>Fri</t>
        </is>
      </c>
      <c r="C1042" t="inlineStr">
        <is>
          <t>Farming</t>
        </is>
      </c>
      <c r="D1042" t="inlineStr">
        <is>
          <t>Kangaroo</t>
        </is>
      </c>
      <c r="E1042" t="n">
        <v>3</v>
      </c>
      <c r="F1042" t="inlineStr">
        <is>
          <t>24:00-08:00</t>
        </is>
      </c>
      <c r="H1042" t="inlineStr">
        <is>
          <t>Corrupted Land</t>
        </is>
      </c>
    </row>
    <row r="1043">
      <c r="A1043" t="inlineStr">
        <is>
          <t>2026-10-02</t>
        </is>
      </c>
      <c r="B1043" t="inlineStr">
        <is>
          <t>Fri</t>
        </is>
      </c>
      <c r="C1043" t="inlineStr">
        <is>
          <t>Farming</t>
        </is>
      </c>
      <c r="D1043" t="inlineStr">
        <is>
          <t>Kyoryu</t>
        </is>
      </c>
      <c r="E1043" t="n">
        <v>1</v>
      </c>
      <c r="F1043" t="inlineStr">
        <is>
          <t>08:00-16:00</t>
        </is>
      </c>
    </row>
    <row r="1044">
      <c r="A1044" t="inlineStr">
        <is>
          <t>2026-10-02</t>
        </is>
      </c>
      <c r="B1044" t="inlineStr">
        <is>
          <t>Fri</t>
        </is>
      </c>
      <c r="C1044" t="inlineStr">
        <is>
          <t>Farming</t>
        </is>
      </c>
      <c r="D1044" t="inlineStr">
        <is>
          <t>Kyoryu</t>
        </is>
      </c>
      <c r="E1044" t="n">
        <v>2</v>
      </c>
      <c r="F1044" t="inlineStr">
        <is>
          <t>16:00-24:00</t>
        </is>
      </c>
      <c r="H1044" t="inlineStr">
        <is>
          <t>ELMORE &amp; DD</t>
        </is>
      </c>
    </row>
    <row r="1045">
      <c r="A1045" t="inlineStr">
        <is>
          <t>2026-10-02</t>
        </is>
      </c>
      <c r="B1045" t="inlineStr">
        <is>
          <t>Fri</t>
        </is>
      </c>
      <c r="C1045" t="inlineStr">
        <is>
          <t>Farming</t>
        </is>
      </c>
      <c r="D1045" t="inlineStr">
        <is>
          <t>Kyoryu</t>
        </is>
      </c>
      <c r="E1045" t="n">
        <v>3</v>
      </c>
      <c r="F1045" t="inlineStr">
        <is>
          <t>24:00-08:00</t>
        </is>
      </c>
      <c r="H1045" t="inlineStr">
        <is>
          <t>Elmore</t>
        </is>
      </c>
    </row>
    <row r="1046">
      <c r="A1046" t="inlineStr">
        <is>
          <t>2026-10-02</t>
        </is>
      </c>
      <c r="B1046" t="inlineStr">
        <is>
          <t>Fri</t>
        </is>
      </c>
      <c r="C1046" t="inlineStr">
        <is>
          <t>Farming</t>
        </is>
      </c>
      <c r="D1046" t="inlineStr">
        <is>
          <t>Marcelo</t>
        </is>
      </c>
      <c r="E1046" t="n">
        <v>1</v>
      </c>
      <c r="F1046" t="inlineStr">
        <is>
          <t>08:00-16:00</t>
        </is>
      </c>
    </row>
    <row r="1047">
      <c r="A1047" t="inlineStr">
        <is>
          <t>2026-10-02</t>
        </is>
      </c>
      <c r="B1047" t="inlineStr">
        <is>
          <t>Fri</t>
        </is>
      </c>
      <c r="C1047" t="inlineStr">
        <is>
          <t>Farming</t>
        </is>
      </c>
      <c r="D1047" t="inlineStr">
        <is>
          <t>Marcelo</t>
        </is>
      </c>
      <c r="E1047" t="n">
        <v>2</v>
      </c>
      <c r="F1047" t="inlineStr">
        <is>
          <t>16:00-24:00</t>
        </is>
      </c>
      <c r="H1047" t="inlineStr">
        <is>
          <t>ELMORE &amp; DD</t>
        </is>
      </c>
    </row>
    <row r="1048">
      <c r="A1048" t="inlineStr">
        <is>
          <t>2026-10-02</t>
        </is>
      </c>
      <c r="B1048" t="inlineStr">
        <is>
          <t>Fri</t>
        </is>
      </c>
      <c r="C1048" t="inlineStr">
        <is>
          <t>Farming</t>
        </is>
      </c>
      <c r="D1048" t="inlineStr">
        <is>
          <t>Marcelo</t>
        </is>
      </c>
      <c r="E1048" t="n">
        <v>3</v>
      </c>
      <c r="F1048" t="inlineStr">
        <is>
          <t>24:00-08:00</t>
        </is>
      </c>
      <c r="H1048" t="inlineStr">
        <is>
          <t>Elmore</t>
        </is>
      </c>
    </row>
    <row r="1049">
      <c r="A1049" t="inlineStr">
        <is>
          <t>2026-10-02</t>
        </is>
      </c>
      <c r="B1049" t="inlineStr">
        <is>
          <t>Fri</t>
        </is>
      </c>
      <c r="C1049" t="inlineStr">
        <is>
          <t>Farming</t>
        </is>
      </c>
      <c r="D1049" t="inlineStr">
        <is>
          <t>OldBlood</t>
        </is>
      </c>
      <c r="E1049" t="n">
        <v>1</v>
      </c>
      <c r="F1049" t="inlineStr">
        <is>
          <t>24:00-08:00</t>
        </is>
      </c>
    </row>
    <row r="1050">
      <c r="A1050" t="inlineStr">
        <is>
          <t>2026-10-02</t>
        </is>
      </c>
      <c r="B1050" t="inlineStr">
        <is>
          <t>Fri</t>
        </is>
      </c>
      <c r="C1050" t="inlineStr">
        <is>
          <t>Farming</t>
        </is>
      </c>
      <c r="D1050" t="inlineStr">
        <is>
          <t>Pele</t>
        </is>
      </c>
      <c r="E1050" t="n">
        <v>1</v>
      </c>
      <c r="F1050" t="inlineStr">
        <is>
          <t>08:00-16:00</t>
        </is>
      </c>
    </row>
    <row r="1051">
      <c r="A1051" t="inlineStr">
        <is>
          <t>2026-10-02</t>
        </is>
      </c>
      <c r="B1051" t="inlineStr">
        <is>
          <t>Fri</t>
        </is>
      </c>
      <c r="C1051" t="inlineStr">
        <is>
          <t>Farming</t>
        </is>
      </c>
      <c r="D1051" t="inlineStr">
        <is>
          <t>Pele</t>
        </is>
      </c>
      <c r="E1051" t="n">
        <v>2</v>
      </c>
      <c r="F1051" t="inlineStr">
        <is>
          <t>16:00-24:00</t>
        </is>
      </c>
      <c r="H1051" t="inlineStr">
        <is>
          <t>ANT &amp; ELMORE</t>
        </is>
      </c>
    </row>
    <row r="1052">
      <c r="A1052" t="inlineStr">
        <is>
          <t>2026-10-02</t>
        </is>
      </c>
      <c r="B1052" t="inlineStr">
        <is>
          <t>Fri</t>
        </is>
      </c>
      <c r="C1052" t="inlineStr">
        <is>
          <t>Farming</t>
        </is>
      </c>
      <c r="D1052" t="inlineStr">
        <is>
          <t>Pele</t>
        </is>
      </c>
      <c r="E1052" t="n">
        <v>3</v>
      </c>
      <c r="F1052" t="inlineStr">
        <is>
          <t>24:00-08:00</t>
        </is>
      </c>
      <c r="H1052" t="inlineStr">
        <is>
          <t>ELMORE</t>
        </is>
      </c>
    </row>
    <row r="1053">
      <c r="A1053" t="inlineStr">
        <is>
          <t>2026-10-02</t>
        </is>
      </c>
      <c r="B1053" t="inlineStr">
        <is>
          <t>Fri</t>
        </is>
      </c>
      <c r="C1053" t="inlineStr">
        <is>
          <t>Farming</t>
        </is>
      </c>
      <c r="D1053" t="inlineStr">
        <is>
          <t>Ronaldo</t>
        </is>
      </c>
      <c r="E1053" t="n">
        <v>1</v>
      </c>
      <c r="F1053" t="inlineStr">
        <is>
          <t>08:00-13:00</t>
        </is>
      </c>
    </row>
    <row r="1054">
      <c r="A1054" t="inlineStr">
        <is>
          <t>2026-10-02</t>
        </is>
      </c>
      <c r="B1054" t="inlineStr">
        <is>
          <t>Fri</t>
        </is>
      </c>
      <c r="C1054" t="inlineStr">
        <is>
          <t>Farming</t>
        </is>
      </c>
      <c r="D1054" t="inlineStr">
        <is>
          <t>Ronaldo</t>
        </is>
      </c>
      <c r="E1054" t="n">
        <v>2</v>
      </c>
      <c r="F1054" t="inlineStr">
        <is>
          <t>16:00-24:00</t>
        </is>
      </c>
      <c r="H1054" t="inlineStr">
        <is>
          <t>Ivory Tower 4~5</t>
        </is>
      </c>
    </row>
    <row r="1055">
      <c r="A1055" t="inlineStr">
        <is>
          <t>2026-10-02</t>
        </is>
      </c>
      <c r="B1055" t="inlineStr">
        <is>
          <t>Fri</t>
        </is>
      </c>
      <c r="C1055" t="inlineStr">
        <is>
          <t>Farming</t>
        </is>
      </c>
      <c r="D1055" t="inlineStr">
        <is>
          <t>Ronaldo</t>
        </is>
      </c>
      <c r="E1055" t="n">
        <v>3</v>
      </c>
      <c r="F1055" t="inlineStr">
        <is>
          <t>24:00-08:00</t>
        </is>
      </c>
      <c r="H1055" t="inlineStr">
        <is>
          <t>Ivory flr4&amp;5</t>
        </is>
      </c>
    </row>
    <row r="1056">
      <c r="A1056" t="inlineStr">
        <is>
          <t>2026-10-02</t>
        </is>
      </c>
      <c r="B1056" t="inlineStr">
        <is>
          <t>Fri</t>
        </is>
      </c>
      <c r="C1056" t="inlineStr">
        <is>
          <t>Farming</t>
        </is>
      </c>
      <c r="D1056" t="inlineStr">
        <is>
          <t>Sarim</t>
        </is>
      </c>
      <c r="E1056" t="n">
        <v>1</v>
      </c>
      <c r="F1056" t="inlineStr">
        <is>
          <t>08:00-16:00</t>
        </is>
      </c>
    </row>
    <row r="1057">
      <c r="A1057" t="inlineStr">
        <is>
          <t>2026-10-02</t>
        </is>
      </c>
      <c r="B1057" t="inlineStr">
        <is>
          <t>Fri</t>
        </is>
      </c>
      <c r="C1057" t="inlineStr">
        <is>
          <t>Farming</t>
        </is>
      </c>
      <c r="D1057" t="inlineStr">
        <is>
          <t>Sarim</t>
        </is>
      </c>
      <c r="E1057" t="n">
        <v>2</v>
      </c>
      <c r="F1057" t="inlineStr">
        <is>
          <t>16:00-24:00</t>
        </is>
      </c>
      <c r="H1057" t="inlineStr">
        <is>
          <t>ELMORE &amp; DD</t>
        </is>
      </c>
    </row>
    <row r="1058">
      <c r="A1058" t="inlineStr">
        <is>
          <t>2026-10-02</t>
        </is>
      </c>
      <c r="B1058" t="inlineStr">
        <is>
          <t>Fri</t>
        </is>
      </c>
      <c r="C1058" t="inlineStr">
        <is>
          <t>Farming</t>
        </is>
      </c>
      <c r="D1058" t="inlineStr">
        <is>
          <t>Sarim</t>
        </is>
      </c>
      <c r="E1058" t="n">
        <v>3</v>
      </c>
      <c r="F1058" t="inlineStr">
        <is>
          <t>24:00-08:00</t>
        </is>
      </c>
      <c r="H1058" t="inlineStr">
        <is>
          <t>Elmore</t>
        </is>
      </c>
    </row>
    <row r="1059">
      <c r="A1059" t="inlineStr">
        <is>
          <t>2026-10-02</t>
        </is>
      </c>
      <c r="B1059" t="inlineStr">
        <is>
          <t>Fri</t>
        </is>
      </c>
      <c r="C1059" t="inlineStr">
        <is>
          <t>Farming</t>
        </is>
      </c>
      <c r="D1059" t="inlineStr">
        <is>
          <t>Sinsang</t>
        </is>
      </c>
      <c r="E1059" t="n">
        <v>1</v>
      </c>
      <c r="F1059" t="inlineStr">
        <is>
          <t>24:00-08:00</t>
        </is>
      </c>
    </row>
    <row r="1060">
      <c r="A1060" t="inlineStr">
        <is>
          <t>2026-10-02</t>
        </is>
      </c>
      <c r="B1060" t="inlineStr">
        <is>
          <t>Fri</t>
        </is>
      </c>
      <c r="C1060" t="inlineStr">
        <is>
          <t>Farming</t>
        </is>
      </c>
      <c r="D1060" t="inlineStr">
        <is>
          <t>Sudden</t>
        </is>
      </c>
      <c r="E1060" t="n">
        <v>1</v>
      </c>
      <c r="F1060" t="inlineStr">
        <is>
          <t>08:00-16:00</t>
        </is>
      </c>
    </row>
    <row r="1061">
      <c r="A1061" t="inlineStr">
        <is>
          <t>2026-10-02</t>
        </is>
      </c>
      <c r="B1061" t="inlineStr">
        <is>
          <t>Fri</t>
        </is>
      </c>
      <c r="C1061" t="inlineStr">
        <is>
          <t>Farming</t>
        </is>
      </c>
      <c r="D1061" t="inlineStr">
        <is>
          <t>Sudden</t>
        </is>
      </c>
      <c r="E1061" t="n">
        <v>2</v>
      </c>
      <c r="F1061" t="inlineStr">
        <is>
          <t>16:00-24:00</t>
        </is>
      </c>
      <c r="H1061" t="inlineStr">
        <is>
          <t>ELMORE &amp; DD</t>
        </is>
      </c>
    </row>
    <row r="1062">
      <c r="A1062" t="inlineStr">
        <is>
          <t>2026-10-02</t>
        </is>
      </c>
      <c r="B1062" t="inlineStr">
        <is>
          <t>Fri</t>
        </is>
      </c>
      <c r="C1062" t="inlineStr">
        <is>
          <t>Farming</t>
        </is>
      </c>
      <c r="D1062" t="inlineStr">
        <is>
          <t>Sudden</t>
        </is>
      </c>
      <c r="E1062" t="n">
        <v>3</v>
      </c>
      <c r="F1062" t="inlineStr">
        <is>
          <t>24:00-08:00</t>
        </is>
      </c>
      <c r="H1062" t="inlineStr">
        <is>
          <t>Elmore</t>
        </is>
      </c>
    </row>
    <row r="1063">
      <c r="A1063" t="inlineStr">
        <is>
          <t>2026-10-02</t>
        </is>
      </c>
      <c r="B1063" t="inlineStr">
        <is>
          <t>Fri</t>
        </is>
      </c>
      <c r="C1063" t="inlineStr">
        <is>
          <t>Farming</t>
        </is>
      </c>
      <c r="D1063" t="inlineStr">
        <is>
          <t>Sunsang</t>
        </is>
      </c>
      <c r="E1063" t="n">
        <v>1</v>
      </c>
      <c r="F1063" t="inlineStr">
        <is>
          <t>24:00-08:00</t>
        </is>
      </c>
    </row>
    <row r="1064">
      <c r="A1064" t="inlineStr">
        <is>
          <t>2026-10-02</t>
        </is>
      </c>
      <c r="B1064" t="inlineStr">
        <is>
          <t>Fri</t>
        </is>
      </c>
      <c r="C1064" t="inlineStr">
        <is>
          <t>Farming</t>
        </is>
      </c>
      <c r="D1064" t="inlineStr">
        <is>
          <t>Sunsang</t>
        </is>
      </c>
      <c r="E1064" t="n">
        <v>2</v>
      </c>
      <c r="F1064" t="inlineStr">
        <is>
          <t>24:00-08:00</t>
        </is>
      </c>
    </row>
    <row r="1065">
      <c r="A1065" t="inlineStr">
        <is>
          <t>2026-10-02</t>
        </is>
      </c>
      <c r="B1065" t="inlineStr">
        <is>
          <t>Fri</t>
        </is>
      </c>
      <c r="C1065" t="inlineStr">
        <is>
          <t>Farming</t>
        </is>
      </c>
      <c r="D1065" t="inlineStr">
        <is>
          <t>Taejo</t>
        </is>
      </c>
      <c r="E1065" t="n">
        <v>1</v>
      </c>
      <c r="F1065" t="inlineStr">
        <is>
          <t>08:00-16:00</t>
        </is>
      </c>
    </row>
    <row r="1066">
      <c r="A1066" t="inlineStr">
        <is>
          <t>2026-10-02</t>
        </is>
      </c>
      <c r="B1066" t="inlineStr">
        <is>
          <t>Fri</t>
        </is>
      </c>
      <c r="C1066" t="inlineStr">
        <is>
          <t>Farming</t>
        </is>
      </c>
      <c r="D1066" t="inlineStr">
        <is>
          <t>Taejo</t>
        </is>
      </c>
      <c r="E1066" t="n">
        <v>2</v>
      </c>
      <c r="F1066" t="inlineStr">
        <is>
          <t>16:00-24:00</t>
        </is>
      </c>
      <c r="H1066" t="inlineStr">
        <is>
          <t>ELMORE &amp; DD</t>
        </is>
      </c>
    </row>
    <row r="1067">
      <c r="A1067" t="inlineStr">
        <is>
          <t>2026-10-02</t>
        </is>
      </c>
      <c r="B1067" t="inlineStr">
        <is>
          <t>Fri</t>
        </is>
      </c>
      <c r="C1067" t="inlineStr">
        <is>
          <t>Farming</t>
        </is>
      </c>
      <c r="D1067" t="inlineStr">
        <is>
          <t>Taejo</t>
        </is>
      </c>
      <c r="E1067" t="n">
        <v>3</v>
      </c>
      <c r="F1067" t="inlineStr">
        <is>
          <t>24:00-08:00</t>
        </is>
      </c>
      <c r="H1067" t="inlineStr">
        <is>
          <t>Elmore</t>
        </is>
      </c>
    </row>
    <row r="1068">
      <c r="A1068" t="inlineStr">
        <is>
          <t>2026-10-03</t>
        </is>
      </c>
      <c r="B1068" t="inlineStr">
        <is>
          <t>Sat</t>
        </is>
      </c>
      <c r="C1068" t="inlineStr">
        <is>
          <t>Client</t>
        </is>
      </c>
      <c r="D1068" t="inlineStr">
        <is>
          <t>ADA</t>
        </is>
      </c>
      <c r="E1068" t="n">
        <v>1</v>
      </c>
      <c r="F1068" t="inlineStr">
        <is>
          <t>09:00-17:00</t>
        </is>
      </c>
    </row>
    <row r="1069">
      <c r="A1069" t="inlineStr">
        <is>
          <t>2026-10-03</t>
        </is>
      </c>
      <c r="B1069" t="inlineStr">
        <is>
          <t>Sat</t>
        </is>
      </c>
      <c r="C1069" t="inlineStr">
        <is>
          <t>Client</t>
        </is>
      </c>
      <c r="D1069" t="inlineStr">
        <is>
          <t>ADA</t>
        </is>
      </c>
      <c r="E1069" t="n">
        <v>2</v>
      </c>
      <c r="F1069" t="inlineStr">
        <is>
          <t>OFF</t>
        </is>
      </c>
    </row>
    <row r="1070">
      <c r="A1070" t="inlineStr">
        <is>
          <t>2026-10-03</t>
        </is>
      </c>
      <c r="B1070" t="inlineStr">
        <is>
          <t>Sat</t>
        </is>
      </c>
      <c r="C1070" t="inlineStr">
        <is>
          <t>Client</t>
        </is>
      </c>
      <c r="D1070" t="inlineStr">
        <is>
          <t>Alex</t>
        </is>
      </c>
      <c r="E1070" t="n">
        <v>1</v>
      </c>
      <c r="F1070" t="inlineStr">
        <is>
          <t>11:30-16:00</t>
        </is>
      </c>
      <c r="H1070" t="inlineStr">
        <is>
          <t>Ivory Tower 4~5</t>
        </is>
      </c>
    </row>
    <row r="1071">
      <c r="A1071" t="inlineStr">
        <is>
          <t>2026-10-03</t>
        </is>
      </c>
      <c r="B1071" t="inlineStr">
        <is>
          <t>Sat</t>
        </is>
      </c>
      <c r="C1071" t="inlineStr">
        <is>
          <t>Client</t>
        </is>
      </c>
      <c r="D1071" t="inlineStr">
        <is>
          <t>Alex</t>
        </is>
      </c>
      <c r="E1071" t="n">
        <v>2</v>
      </c>
      <c r="F1071" t="inlineStr">
        <is>
          <t>16:00-24:00</t>
        </is>
      </c>
      <c r="H1071" t="inlineStr">
        <is>
          <t>Ivory Tower 6~7</t>
        </is>
      </c>
    </row>
    <row r="1072">
      <c r="A1072" t="inlineStr">
        <is>
          <t>2026-10-03</t>
        </is>
      </c>
      <c r="B1072" t="inlineStr">
        <is>
          <t>Sat</t>
        </is>
      </c>
      <c r="C1072" t="inlineStr">
        <is>
          <t>Client</t>
        </is>
      </c>
      <c r="D1072" t="inlineStr">
        <is>
          <t>Alex</t>
        </is>
      </c>
      <c r="E1072" t="n">
        <v>3</v>
      </c>
      <c r="F1072" t="inlineStr">
        <is>
          <t>24:00-08:00</t>
        </is>
      </c>
      <c r="H1072" t="inlineStr">
        <is>
          <t>Ivory Tower 4~5</t>
        </is>
      </c>
    </row>
    <row r="1073">
      <c r="A1073" t="inlineStr">
        <is>
          <t>2026-10-03</t>
        </is>
      </c>
      <c r="B1073" t="inlineStr">
        <is>
          <t>Sat</t>
        </is>
      </c>
      <c r="C1073" t="inlineStr">
        <is>
          <t>Client</t>
        </is>
      </c>
      <c r="D1073" t="inlineStr">
        <is>
          <t>Beongaebul</t>
        </is>
      </c>
      <c r="E1073" t="n">
        <v>1</v>
      </c>
      <c r="F1073" t="inlineStr">
        <is>
          <t>01:00-09:00</t>
        </is>
      </c>
    </row>
    <row r="1074">
      <c r="A1074" t="inlineStr">
        <is>
          <t>2026-10-03</t>
        </is>
      </c>
      <c r="B1074" t="inlineStr">
        <is>
          <t>Sat</t>
        </is>
      </c>
      <c r="C1074" t="inlineStr">
        <is>
          <t>Client</t>
        </is>
      </c>
      <c r="D1074" t="inlineStr">
        <is>
          <t>Captain</t>
        </is>
      </c>
      <c r="E1074" t="n">
        <v>1</v>
      </c>
      <c r="F1074" t="inlineStr">
        <is>
          <t>OFF</t>
        </is>
      </c>
    </row>
    <row r="1075">
      <c r="A1075" t="inlineStr">
        <is>
          <t>2026-10-03</t>
        </is>
      </c>
      <c r="B1075" t="inlineStr">
        <is>
          <t>Sat</t>
        </is>
      </c>
      <c r="C1075" t="inlineStr">
        <is>
          <t>Client</t>
        </is>
      </c>
      <c r="D1075" t="inlineStr">
        <is>
          <t>Captain</t>
        </is>
      </c>
      <c r="E1075" t="n">
        <v>2</v>
      </c>
      <c r="F1075" t="inlineStr">
        <is>
          <t>OFF</t>
        </is>
      </c>
    </row>
    <row r="1076">
      <c r="A1076" t="inlineStr">
        <is>
          <t>2026-10-03</t>
        </is>
      </c>
      <c r="B1076" t="inlineStr">
        <is>
          <t>Sat</t>
        </is>
      </c>
      <c r="C1076" t="inlineStr">
        <is>
          <t>Client</t>
        </is>
      </c>
      <c r="D1076" t="inlineStr">
        <is>
          <t>Dalo</t>
        </is>
      </c>
      <c r="E1076" t="n">
        <v>1</v>
      </c>
      <c r="F1076" t="inlineStr">
        <is>
          <t>OFF</t>
        </is>
      </c>
    </row>
    <row r="1077">
      <c r="A1077" t="inlineStr">
        <is>
          <t>2026-10-03</t>
        </is>
      </c>
      <c r="B1077" t="inlineStr">
        <is>
          <t>Sat</t>
        </is>
      </c>
      <c r="C1077" t="inlineStr">
        <is>
          <t>Client</t>
        </is>
      </c>
      <c r="D1077" t="inlineStr">
        <is>
          <t>Dalo</t>
        </is>
      </c>
      <c r="E1077" t="n">
        <v>2</v>
      </c>
      <c r="F1077" t="inlineStr">
        <is>
          <t>OFF</t>
        </is>
      </c>
    </row>
    <row r="1078">
      <c r="A1078" t="inlineStr">
        <is>
          <t>2026-10-03</t>
        </is>
      </c>
      <c r="B1078" t="inlineStr">
        <is>
          <t>Sat</t>
        </is>
      </c>
      <c r="C1078" t="inlineStr">
        <is>
          <t>Client</t>
        </is>
      </c>
      <c r="D1078" t="inlineStr">
        <is>
          <t>Dalo</t>
        </is>
      </c>
      <c r="E1078" t="n">
        <v>3</v>
      </c>
      <c r="F1078" t="inlineStr">
        <is>
          <t>OFF</t>
        </is>
      </c>
    </row>
    <row r="1079">
      <c r="A1079" t="inlineStr">
        <is>
          <t>2026-10-03</t>
        </is>
      </c>
      <c r="B1079" t="inlineStr">
        <is>
          <t>Sat</t>
        </is>
      </c>
      <c r="C1079" t="inlineStr">
        <is>
          <t>Client</t>
        </is>
      </c>
      <c r="D1079" t="inlineStr">
        <is>
          <t>Dodam</t>
        </is>
      </c>
      <c r="E1079" t="n">
        <v>1</v>
      </c>
      <c r="F1079" t="inlineStr">
        <is>
          <t>23:00-11:00</t>
        </is>
      </c>
      <c r="H1079" t="inlineStr">
        <is>
          <t>Island of Dreams</t>
        </is>
      </c>
    </row>
    <row r="1080">
      <c r="A1080" t="inlineStr">
        <is>
          <t>2026-10-03</t>
        </is>
      </c>
      <c r="B1080" t="inlineStr">
        <is>
          <t>Sat</t>
        </is>
      </c>
      <c r="C1080" t="inlineStr">
        <is>
          <t>Client</t>
        </is>
      </c>
      <c r="D1080" t="inlineStr">
        <is>
          <t>Dodam</t>
        </is>
      </c>
      <c r="E1080" t="n">
        <v>2</v>
      </c>
      <c r="F1080" t="inlineStr">
        <is>
          <t>07:00-19:00</t>
        </is>
      </c>
    </row>
    <row r="1081">
      <c r="A1081" t="inlineStr">
        <is>
          <t>2026-10-03</t>
        </is>
      </c>
      <c r="B1081" t="inlineStr">
        <is>
          <t>Sat</t>
        </is>
      </c>
      <c r="C1081" t="inlineStr">
        <is>
          <t>Client</t>
        </is>
      </c>
      <c r="D1081" t="inlineStr">
        <is>
          <t>Dol</t>
        </is>
      </c>
      <c r="E1081" t="n">
        <v>1</v>
      </c>
      <c r="F1081" t="inlineStr">
        <is>
          <t>24:00-08:00</t>
        </is>
      </c>
      <c r="H1081" t="inlineStr">
        <is>
          <t>Dragon Valley</t>
        </is>
      </c>
    </row>
    <row r="1082">
      <c r="A1082" t="inlineStr">
        <is>
          <t>2026-10-03</t>
        </is>
      </c>
      <c r="B1082" t="inlineStr">
        <is>
          <t>Sat</t>
        </is>
      </c>
      <c r="C1082" t="inlineStr">
        <is>
          <t>Client</t>
        </is>
      </c>
      <c r="D1082" t="inlineStr">
        <is>
          <t>Dol</t>
        </is>
      </c>
      <c r="E1082" t="n">
        <v>2</v>
      </c>
      <c r="F1082" t="inlineStr">
        <is>
          <t>OFF</t>
        </is>
      </c>
    </row>
    <row r="1083">
      <c r="A1083" t="inlineStr">
        <is>
          <t>2026-10-03</t>
        </is>
      </c>
      <c r="B1083" t="inlineStr">
        <is>
          <t>Sat</t>
        </is>
      </c>
      <c r="C1083" t="inlineStr">
        <is>
          <t>Client</t>
        </is>
      </c>
      <c r="D1083" t="inlineStr">
        <is>
          <t>Doma</t>
        </is>
      </c>
      <c r="E1083" t="n">
        <v>1</v>
      </c>
      <c r="F1083" t="inlineStr">
        <is>
          <t>OFF</t>
        </is>
      </c>
    </row>
    <row r="1084">
      <c r="A1084" t="inlineStr">
        <is>
          <t>2026-10-03</t>
        </is>
      </c>
      <c r="B1084" t="inlineStr">
        <is>
          <t>Sat</t>
        </is>
      </c>
      <c r="C1084" t="inlineStr">
        <is>
          <t>Client</t>
        </is>
      </c>
      <c r="D1084" t="inlineStr">
        <is>
          <t>Doma</t>
        </is>
      </c>
      <c r="E1084" t="n">
        <v>2</v>
      </c>
      <c r="F1084" t="inlineStr">
        <is>
          <t>23:00-07:00</t>
        </is>
      </c>
      <c r="H1084" t="inlineStr">
        <is>
          <t>Ivory Tower</t>
        </is>
      </c>
    </row>
    <row r="1085">
      <c r="A1085" t="inlineStr">
        <is>
          <t>2026-10-03</t>
        </is>
      </c>
      <c r="B1085" t="inlineStr">
        <is>
          <t>Sat</t>
        </is>
      </c>
      <c r="C1085" t="inlineStr">
        <is>
          <t>Client</t>
        </is>
      </c>
      <c r="D1085" t="inlineStr">
        <is>
          <t>Duga</t>
        </is>
      </c>
      <c r="E1085" t="n">
        <v>1</v>
      </c>
      <c r="F1085" t="inlineStr">
        <is>
          <t>07:00-15:00</t>
        </is>
      </c>
      <c r="H1085" t="inlineStr">
        <is>
          <t>Oman/ Ivory Tower</t>
        </is>
      </c>
    </row>
    <row r="1086">
      <c r="A1086" t="inlineStr">
        <is>
          <t>2026-10-03</t>
        </is>
      </c>
      <c r="B1086" t="inlineStr">
        <is>
          <t>Sat</t>
        </is>
      </c>
      <c r="C1086" t="inlineStr">
        <is>
          <t>Client</t>
        </is>
      </c>
      <c r="D1086" t="inlineStr">
        <is>
          <t>Elf</t>
        </is>
      </c>
      <c r="E1086" t="n">
        <v>1</v>
      </c>
      <c r="F1086" t="inlineStr">
        <is>
          <t>OFF</t>
        </is>
      </c>
    </row>
    <row r="1087">
      <c r="A1087" t="inlineStr">
        <is>
          <t>2026-10-03</t>
        </is>
      </c>
      <c r="B1087" t="inlineStr">
        <is>
          <t>Sat</t>
        </is>
      </c>
      <c r="C1087" t="inlineStr">
        <is>
          <t>Client</t>
        </is>
      </c>
      <c r="D1087" t="inlineStr">
        <is>
          <t>Geonbae</t>
        </is>
      </c>
      <c r="E1087" t="n">
        <v>1</v>
      </c>
      <c r="F1087" t="inlineStr">
        <is>
          <t>OFF</t>
        </is>
      </c>
    </row>
    <row r="1088">
      <c r="A1088" t="inlineStr">
        <is>
          <t>2026-10-03</t>
        </is>
      </c>
      <c r="B1088" t="inlineStr">
        <is>
          <t>Sat</t>
        </is>
      </c>
      <c r="C1088" t="inlineStr">
        <is>
          <t>Client</t>
        </is>
      </c>
      <c r="D1088" t="inlineStr">
        <is>
          <t>Geonbae</t>
        </is>
      </c>
      <c r="E1088" t="n">
        <v>2</v>
      </c>
      <c r="F1088" t="inlineStr">
        <is>
          <t>23:00-07:00</t>
        </is>
      </c>
      <c r="H1088" t="inlineStr">
        <is>
          <t>Ivory Tower</t>
        </is>
      </c>
    </row>
    <row r="1089">
      <c r="A1089" t="inlineStr">
        <is>
          <t>2026-10-03</t>
        </is>
      </c>
      <c r="B1089" t="inlineStr">
        <is>
          <t>Sat</t>
        </is>
      </c>
      <c r="C1089" t="inlineStr">
        <is>
          <t>Client</t>
        </is>
      </c>
      <c r="D1089" t="inlineStr">
        <is>
          <t>Goop</t>
        </is>
      </c>
      <c r="E1089" t="n">
        <v>1</v>
      </c>
      <c r="F1089" t="inlineStr">
        <is>
          <t>OFF</t>
        </is>
      </c>
    </row>
    <row r="1090">
      <c r="A1090" t="inlineStr">
        <is>
          <t>2026-10-03</t>
        </is>
      </c>
      <c r="B1090" t="inlineStr">
        <is>
          <t>Sat</t>
        </is>
      </c>
      <c r="C1090" t="inlineStr">
        <is>
          <t>Client</t>
        </is>
      </c>
      <c r="D1090" t="inlineStr">
        <is>
          <t>Heon</t>
        </is>
      </c>
      <c r="E1090" t="n">
        <v>1</v>
      </c>
      <c r="F1090" t="inlineStr">
        <is>
          <t>OFF</t>
        </is>
      </c>
      <c r="H1090" t="inlineStr">
        <is>
          <t>Abandoned Land (Abyss) 6
ivory tower 2</t>
        </is>
      </c>
    </row>
    <row r="1091">
      <c r="A1091" t="inlineStr">
        <is>
          <t>2026-10-03</t>
        </is>
      </c>
      <c r="B1091" t="inlineStr">
        <is>
          <t>Sat</t>
        </is>
      </c>
      <c r="C1091" t="inlineStr">
        <is>
          <t>Client</t>
        </is>
      </c>
      <c r="D1091" t="inlineStr">
        <is>
          <t>Jjuni</t>
        </is>
      </c>
      <c r="E1091" t="n">
        <v>1</v>
      </c>
      <c r="F1091" t="inlineStr">
        <is>
          <t>13:00-21:00</t>
        </is>
      </c>
    </row>
    <row r="1092">
      <c r="A1092" t="inlineStr">
        <is>
          <t>2026-10-03</t>
        </is>
      </c>
      <c r="B1092" t="inlineStr">
        <is>
          <t>Sat</t>
        </is>
      </c>
      <c r="C1092" t="inlineStr">
        <is>
          <t>Client</t>
        </is>
      </c>
      <c r="D1092" t="inlineStr">
        <is>
          <t>Jjuni</t>
        </is>
      </c>
      <c r="E1092" t="n">
        <v>2</v>
      </c>
      <c r="F1092" t="inlineStr">
        <is>
          <t>OFF</t>
        </is>
      </c>
    </row>
    <row r="1093">
      <c r="A1093" t="inlineStr">
        <is>
          <t>2026-10-03</t>
        </is>
      </c>
      <c r="B1093" t="inlineStr">
        <is>
          <t>Sat</t>
        </is>
      </c>
      <c r="C1093" t="inlineStr">
        <is>
          <t>Client</t>
        </is>
      </c>
      <c r="D1093" t="inlineStr">
        <is>
          <t>Jjuni</t>
        </is>
      </c>
      <c r="E1093" t="n">
        <v>3</v>
      </c>
      <c r="F1093" t="inlineStr">
        <is>
          <t>OFF</t>
        </is>
      </c>
      <c r="H1093" t="inlineStr">
        <is>
          <t>Ivory Tower</t>
        </is>
      </c>
    </row>
    <row r="1094">
      <c r="A1094" t="inlineStr">
        <is>
          <t>2026-10-03</t>
        </is>
      </c>
      <c r="B1094" t="inlineStr">
        <is>
          <t>Sat</t>
        </is>
      </c>
      <c r="C1094" t="inlineStr">
        <is>
          <t>Client</t>
        </is>
      </c>
      <c r="D1094" t="inlineStr">
        <is>
          <t>Jo</t>
        </is>
      </c>
      <c r="E1094" t="n">
        <v>1</v>
      </c>
      <c r="F1094" t="inlineStr">
        <is>
          <t>OFF</t>
        </is>
      </c>
    </row>
    <row r="1095">
      <c r="A1095" t="inlineStr">
        <is>
          <t>2026-10-03</t>
        </is>
      </c>
      <c r="B1095" t="inlineStr">
        <is>
          <t>Sat</t>
        </is>
      </c>
      <c r="C1095" t="inlineStr">
        <is>
          <t>Client</t>
        </is>
      </c>
      <c r="D1095" t="inlineStr">
        <is>
          <t>Lammy Queen</t>
        </is>
      </c>
      <c r="E1095" t="n">
        <v>1</v>
      </c>
      <c r="F1095" t="inlineStr">
        <is>
          <t>OFF</t>
        </is>
      </c>
    </row>
    <row r="1096">
      <c r="A1096" t="inlineStr">
        <is>
          <t>2026-10-03</t>
        </is>
      </c>
      <c r="B1096" t="inlineStr">
        <is>
          <t>Sat</t>
        </is>
      </c>
      <c r="C1096" t="inlineStr">
        <is>
          <t>Client</t>
        </is>
      </c>
      <c r="D1096" t="inlineStr">
        <is>
          <t>Lammy Queen</t>
        </is>
      </c>
      <c r="E1096" t="n">
        <v>2</v>
      </c>
      <c r="F1096" t="inlineStr">
        <is>
          <t>OFF</t>
        </is>
      </c>
    </row>
    <row r="1097">
      <c r="A1097" t="inlineStr">
        <is>
          <t>2026-10-03</t>
        </is>
      </c>
      <c r="B1097" t="inlineStr">
        <is>
          <t>Sat</t>
        </is>
      </c>
      <c r="C1097" t="inlineStr">
        <is>
          <t>Client</t>
        </is>
      </c>
      <c r="D1097" t="inlineStr">
        <is>
          <t>Lolly</t>
        </is>
      </c>
      <c r="E1097" t="n">
        <v>1</v>
      </c>
      <c r="F1097" t="inlineStr">
        <is>
          <t>06:00-16:00</t>
        </is>
      </c>
      <c r="H1097" t="inlineStr">
        <is>
          <t>abandoned land 3
a land of corruption5</t>
        </is>
      </c>
    </row>
    <row r="1098">
      <c r="A1098" t="inlineStr">
        <is>
          <t>2026-10-03</t>
        </is>
      </c>
      <c r="B1098" t="inlineStr">
        <is>
          <t>Sat</t>
        </is>
      </c>
      <c r="C1098" t="inlineStr">
        <is>
          <t>Client</t>
        </is>
      </c>
      <c r="D1098" t="inlineStr">
        <is>
          <t>Mukkbo</t>
        </is>
      </c>
      <c r="E1098" t="n">
        <v>1</v>
      </c>
      <c r="F1098" t="inlineStr">
        <is>
          <t>OFF</t>
        </is>
      </c>
    </row>
    <row r="1099">
      <c r="A1099" t="inlineStr">
        <is>
          <t>2026-10-03</t>
        </is>
      </c>
      <c r="B1099" t="inlineStr">
        <is>
          <t>Sat</t>
        </is>
      </c>
      <c r="C1099" t="inlineStr">
        <is>
          <t>Client</t>
        </is>
      </c>
      <c r="D1099" t="inlineStr">
        <is>
          <t>Mukkbo</t>
        </is>
      </c>
      <c r="E1099" t="n">
        <v>2</v>
      </c>
      <c r="F1099" t="inlineStr">
        <is>
          <t>OFF</t>
        </is>
      </c>
    </row>
    <row r="1100">
      <c r="A1100" t="inlineStr">
        <is>
          <t>2026-10-03</t>
        </is>
      </c>
      <c r="B1100" t="inlineStr">
        <is>
          <t>Sat</t>
        </is>
      </c>
      <c r="C1100" t="inlineStr">
        <is>
          <t>Client</t>
        </is>
      </c>
      <c r="D1100" t="inlineStr">
        <is>
          <t>Munjin</t>
        </is>
      </c>
      <c r="E1100" t="n">
        <v>1</v>
      </c>
      <c r="F1100" t="inlineStr">
        <is>
          <t>OFF</t>
        </is>
      </c>
    </row>
    <row r="1101">
      <c r="A1101" t="inlineStr">
        <is>
          <t>2026-10-03</t>
        </is>
      </c>
      <c r="B1101" t="inlineStr">
        <is>
          <t>Sat</t>
        </is>
      </c>
      <c r="C1101" t="inlineStr">
        <is>
          <t>Client</t>
        </is>
      </c>
      <c r="D1101" t="inlineStr">
        <is>
          <t>Neburegi</t>
        </is>
      </c>
      <c r="E1101" t="n">
        <v>1</v>
      </c>
      <c r="F1101" t="inlineStr">
        <is>
          <t>OFF</t>
        </is>
      </c>
    </row>
    <row r="1102">
      <c r="A1102" t="inlineStr">
        <is>
          <t>2026-10-03</t>
        </is>
      </c>
      <c r="B1102" t="inlineStr">
        <is>
          <t>Sat</t>
        </is>
      </c>
      <c r="C1102" t="inlineStr">
        <is>
          <t>Client</t>
        </is>
      </c>
      <c r="D1102" t="inlineStr">
        <is>
          <t>Olleh</t>
        </is>
      </c>
      <c r="E1102" t="n">
        <v>1</v>
      </c>
      <c r="F1102" t="inlineStr">
        <is>
          <t>OFF</t>
        </is>
      </c>
      <c r="H1102" t="inlineStr">
        <is>
          <t>Ivory Tower</t>
        </is>
      </c>
    </row>
    <row r="1103">
      <c r="A1103" t="inlineStr">
        <is>
          <t>2026-10-03</t>
        </is>
      </c>
      <c r="B1103" t="inlineStr">
        <is>
          <t>Sat</t>
        </is>
      </c>
      <c r="C1103" t="inlineStr">
        <is>
          <t>Client</t>
        </is>
      </c>
      <c r="D1103" t="inlineStr">
        <is>
          <t>Olleh</t>
        </is>
      </c>
      <c r="E1103" t="n">
        <v>2</v>
      </c>
      <c r="F1103" t="inlineStr">
        <is>
          <t>23:00-11:00</t>
        </is>
      </c>
      <c r="H1103" t="inlineStr">
        <is>
          <t>Ivory Tower</t>
        </is>
      </c>
    </row>
    <row r="1104">
      <c r="A1104" t="inlineStr">
        <is>
          <t>2026-10-03</t>
        </is>
      </c>
      <c r="B1104" t="inlineStr">
        <is>
          <t>Sat</t>
        </is>
      </c>
      <c r="C1104" t="inlineStr">
        <is>
          <t>Client</t>
        </is>
      </c>
      <c r="D1104" t="inlineStr">
        <is>
          <t>Perez</t>
        </is>
      </c>
      <c r="E1104" t="n">
        <v>1</v>
      </c>
      <c r="F1104" t="inlineStr">
        <is>
          <t>08:00-16:00</t>
        </is>
      </c>
    </row>
    <row r="1105">
      <c r="A1105" t="inlineStr">
        <is>
          <t>2026-10-03</t>
        </is>
      </c>
      <c r="B1105" t="inlineStr">
        <is>
          <t>Sat</t>
        </is>
      </c>
      <c r="C1105" t="inlineStr">
        <is>
          <t>Client</t>
        </is>
      </c>
      <c r="D1105" t="inlineStr">
        <is>
          <t>Perez</t>
        </is>
      </c>
      <c r="E1105" t="n">
        <v>2</v>
      </c>
      <c r="F1105" t="inlineStr">
        <is>
          <t>13:00-21:00</t>
        </is>
      </c>
      <c r="H1105" t="inlineStr">
        <is>
          <t>LAND OF FALLEN / SPATOY</t>
        </is>
      </c>
    </row>
    <row r="1106">
      <c r="A1106" t="inlineStr">
        <is>
          <t>2026-10-03</t>
        </is>
      </c>
      <c r="B1106" t="inlineStr">
        <is>
          <t>Sat</t>
        </is>
      </c>
      <c r="C1106" t="inlineStr">
        <is>
          <t>Client</t>
        </is>
      </c>
      <c r="D1106" t="inlineStr">
        <is>
          <t>Perez</t>
        </is>
      </c>
      <c r="E1106" t="n">
        <v>3</v>
      </c>
      <c r="F1106" t="inlineStr">
        <is>
          <t>21:00-05:00</t>
        </is>
      </c>
      <c r="H1106" t="inlineStr">
        <is>
          <t>Abandon Land</t>
        </is>
      </c>
    </row>
    <row r="1107">
      <c r="A1107" t="inlineStr">
        <is>
          <t>2026-10-03</t>
        </is>
      </c>
      <c r="B1107" t="inlineStr">
        <is>
          <t>Sat</t>
        </is>
      </c>
      <c r="C1107" t="inlineStr">
        <is>
          <t>Client</t>
        </is>
      </c>
      <c r="D1107" t="inlineStr">
        <is>
          <t>Power20</t>
        </is>
      </c>
      <c r="E1107" t="n">
        <v>1</v>
      </c>
      <c r="F1107" t="inlineStr">
        <is>
          <t>10:00-18:00</t>
        </is>
      </c>
    </row>
    <row r="1108">
      <c r="A1108" t="inlineStr">
        <is>
          <t>2026-10-03</t>
        </is>
      </c>
      <c r="B1108" t="inlineStr">
        <is>
          <t>Sat</t>
        </is>
      </c>
      <c r="C1108" t="inlineStr">
        <is>
          <t>Client</t>
        </is>
      </c>
      <c r="D1108" t="inlineStr">
        <is>
          <t>Power20</t>
        </is>
      </c>
      <c r="E1108" t="n">
        <v>2</v>
      </c>
      <c r="F1108" t="inlineStr">
        <is>
          <t>OFF</t>
        </is>
      </c>
    </row>
    <row r="1109">
      <c r="A1109" t="inlineStr">
        <is>
          <t>2026-10-03</t>
        </is>
      </c>
      <c r="B1109" t="inlineStr">
        <is>
          <t>Sat</t>
        </is>
      </c>
      <c r="C1109" t="inlineStr">
        <is>
          <t>Client</t>
        </is>
      </c>
      <c r="D1109" t="inlineStr">
        <is>
          <t>Power20</t>
        </is>
      </c>
      <c r="E1109" t="n">
        <v>3</v>
      </c>
      <c r="F1109" t="inlineStr">
        <is>
          <t>02:00-10:00</t>
        </is>
      </c>
      <c r="H1109" t="inlineStr">
        <is>
          <t>Ivory Tower</t>
        </is>
      </c>
    </row>
    <row r="1110">
      <c r="A1110" t="inlineStr">
        <is>
          <t>2026-10-03</t>
        </is>
      </c>
      <c r="B1110" t="inlineStr">
        <is>
          <t>Sat</t>
        </is>
      </c>
      <c r="C1110" t="inlineStr">
        <is>
          <t>Client</t>
        </is>
      </c>
      <c r="D1110" t="inlineStr">
        <is>
          <t>Real Madrid</t>
        </is>
      </c>
      <c r="E1110" t="n">
        <v>1</v>
      </c>
      <c r="F1110" t="inlineStr">
        <is>
          <t>24:00-08:00</t>
        </is>
      </c>
      <c r="H1110" t="inlineStr">
        <is>
          <t>Ivory Tower</t>
        </is>
      </c>
    </row>
    <row r="1111">
      <c r="A1111" t="inlineStr">
        <is>
          <t>2026-10-03</t>
        </is>
      </c>
      <c r="B1111" t="inlineStr">
        <is>
          <t>Sat</t>
        </is>
      </c>
      <c r="C1111" t="inlineStr">
        <is>
          <t>Client</t>
        </is>
      </c>
      <c r="D1111" t="inlineStr">
        <is>
          <t>Real Madrid</t>
        </is>
      </c>
      <c r="E1111" t="n">
        <v>2</v>
      </c>
      <c r="F1111" t="inlineStr">
        <is>
          <t>OFF</t>
        </is>
      </c>
      <c r="H1111" t="inlineStr">
        <is>
          <t>Ivory Tower</t>
        </is>
      </c>
    </row>
    <row r="1112">
      <c r="A1112" t="inlineStr">
        <is>
          <t>2026-10-03</t>
        </is>
      </c>
      <c r="B1112" t="inlineStr">
        <is>
          <t>Sat</t>
        </is>
      </c>
      <c r="C1112" t="inlineStr">
        <is>
          <t>Client</t>
        </is>
      </c>
      <c r="D1112" t="inlineStr">
        <is>
          <t>Real Madrid</t>
        </is>
      </c>
      <c r="E1112" t="n">
        <v>3</v>
      </c>
      <c r="F1112" t="inlineStr">
        <is>
          <t>OFF</t>
        </is>
      </c>
    </row>
    <row r="1113">
      <c r="A1113" t="inlineStr">
        <is>
          <t>2026-10-03</t>
        </is>
      </c>
      <c r="B1113" t="inlineStr">
        <is>
          <t>Sat</t>
        </is>
      </c>
      <c r="C1113" t="inlineStr">
        <is>
          <t>Client</t>
        </is>
      </c>
      <c r="D1113" t="inlineStr">
        <is>
          <t>Return</t>
        </is>
      </c>
      <c r="E1113" t="n">
        <v>1</v>
      </c>
      <c r="F1113" t="inlineStr">
        <is>
          <t>03:00-11:00</t>
        </is>
      </c>
      <c r="H1113" t="inlineStr">
        <is>
          <t>Ivory Tower</t>
        </is>
      </c>
    </row>
    <row r="1114">
      <c r="A1114" t="inlineStr">
        <is>
          <t>2026-10-03</t>
        </is>
      </c>
      <c r="B1114" t="inlineStr">
        <is>
          <t>Sat</t>
        </is>
      </c>
      <c r="C1114" t="inlineStr">
        <is>
          <t>Client</t>
        </is>
      </c>
      <c r="D1114" t="inlineStr">
        <is>
          <t>Road</t>
        </is>
      </c>
      <c r="E1114" t="n">
        <v>1</v>
      </c>
      <c r="F1114" t="inlineStr">
        <is>
          <t>OFF</t>
        </is>
      </c>
    </row>
    <row r="1115">
      <c r="A1115" t="inlineStr">
        <is>
          <t>2026-10-03</t>
        </is>
      </c>
      <c r="B1115" t="inlineStr">
        <is>
          <t>Sat</t>
        </is>
      </c>
      <c r="C1115" t="inlineStr">
        <is>
          <t>Client</t>
        </is>
      </c>
      <c r="D1115" t="inlineStr">
        <is>
          <t>SSEN</t>
        </is>
      </c>
      <c r="E1115" t="n">
        <v>1</v>
      </c>
      <c r="F1115" t="inlineStr">
        <is>
          <t>07:00-19:00</t>
        </is>
      </c>
    </row>
    <row r="1116">
      <c r="A1116" t="inlineStr">
        <is>
          <t>2026-10-03</t>
        </is>
      </c>
      <c r="B1116" t="inlineStr">
        <is>
          <t>Sat</t>
        </is>
      </c>
      <c r="C1116" t="inlineStr">
        <is>
          <t>Client</t>
        </is>
      </c>
      <c r="D1116" t="inlineStr">
        <is>
          <t>Tiger</t>
        </is>
      </c>
      <c r="E1116" t="n">
        <v>1</v>
      </c>
      <c r="F1116" t="inlineStr">
        <is>
          <t>OFF</t>
        </is>
      </c>
    </row>
    <row r="1117">
      <c r="A1117" t="inlineStr">
        <is>
          <t>2026-10-03</t>
        </is>
      </c>
      <c r="B1117" t="inlineStr">
        <is>
          <t>Sat</t>
        </is>
      </c>
      <c r="C1117" t="inlineStr">
        <is>
          <t>Client</t>
        </is>
      </c>
      <c r="D1117" t="inlineStr">
        <is>
          <t>Tiger</t>
        </is>
      </c>
      <c r="E1117" t="n">
        <v>2</v>
      </c>
      <c r="F1117" t="inlineStr">
        <is>
          <t>OFF</t>
        </is>
      </c>
      <c r="H1117" t="inlineStr">
        <is>
          <t>Ivory Tower</t>
        </is>
      </c>
    </row>
    <row r="1118">
      <c r="A1118" t="inlineStr">
        <is>
          <t>2026-10-03</t>
        </is>
      </c>
      <c r="B1118" t="inlineStr">
        <is>
          <t>Sat</t>
        </is>
      </c>
      <c r="C1118" t="inlineStr">
        <is>
          <t>Client</t>
        </is>
      </c>
      <c r="D1118" t="inlineStr">
        <is>
          <t>Yeoseo</t>
        </is>
      </c>
      <c r="E1118" t="n">
        <v>1</v>
      </c>
      <c r="F1118" t="inlineStr">
        <is>
          <t>OFF</t>
        </is>
      </c>
      <c r="H1118" t="inlineStr">
        <is>
          <t>abandoned land 3
a land of corruption5</t>
        </is>
      </c>
    </row>
    <row r="1119">
      <c r="A1119" t="inlineStr">
        <is>
          <t>2026-10-03</t>
        </is>
      </c>
      <c r="B1119" t="inlineStr">
        <is>
          <t>Sat</t>
        </is>
      </c>
      <c r="C1119" t="inlineStr">
        <is>
          <t>Client</t>
        </is>
      </c>
      <c r="D1119" t="inlineStr">
        <is>
          <t>Zombie</t>
        </is>
      </c>
      <c r="E1119" t="n">
        <v>1</v>
      </c>
      <c r="F1119" t="inlineStr">
        <is>
          <t>OFF</t>
        </is>
      </c>
    </row>
    <row r="1120">
      <c r="A1120" t="inlineStr">
        <is>
          <t>2026-10-03</t>
        </is>
      </c>
      <c r="B1120" t="inlineStr">
        <is>
          <t>Sat</t>
        </is>
      </c>
      <c r="C1120" t="inlineStr">
        <is>
          <t>Client</t>
        </is>
      </c>
      <c r="D1120" t="inlineStr">
        <is>
          <t>Zombie</t>
        </is>
      </c>
      <c r="E1120" t="n">
        <v>2</v>
      </c>
      <c r="F1120" t="inlineStr">
        <is>
          <t>OFF</t>
        </is>
      </c>
    </row>
    <row r="1121">
      <c r="A1121" t="inlineStr">
        <is>
          <t>2026-10-03</t>
        </is>
      </c>
      <c r="B1121" t="inlineStr">
        <is>
          <t>Sat</t>
        </is>
      </c>
      <c r="C1121" t="inlineStr">
        <is>
          <t>Client</t>
        </is>
      </c>
      <c r="D1121" t="inlineStr">
        <is>
          <t>Zombie</t>
        </is>
      </c>
      <c r="E1121" t="n">
        <v>3</v>
      </c>
      <c r="F1121" t="inlineStr">
        <is>
          <t>OFF</t>
        </is>
      </c>
    </row>
    <row r="1122">
      <c r="A1122" t="inlineStr">
        <is>
          <t>2026-10-03</t>
        </is>
      </c>
      <c r="B1122" t="inlineStr">
        <is>
          <t>Sat</t>
        </is>
      </c>
      <c r="C1122" t="inlineStr">
        <is>
          <t>Farming</t>
        </is>
      </c>
      <c r="D1122" t="inlineStr">
        <is>
          <t>Kangaroo</t>
        </is>
      </c>
      <c r="E1122" t="n">
        <v>1</v>
      </c>
      <c r="F1122" t="inlineStr">
        <is>
          <t>08:00-16:00</t>
        </is>
      </c>
      <c r="H1122" t="inlineStr">
        <is>
          <t>Corrupted Land</t>
        </is>
      </c>
    </row>
    <row r="1123">
      <c r="A1123" t="inlineStr">
        <is>
          <t>2026-10-03</t>
        </is>
      </c>
      <c r="B1123" t="inlineStr">
        <is>
          <t>Sat</t>
        </is>
      </c>
      <c r="C1123" t="inlineStr">
        <is>
          <t>Farming</t>
        </is>
      </c>
      <c r="D1123" t="inlineStr">
        <is>
          <t>Kangaroo</t>
        </is>
      </c>
      <c r="E1123" t="n">
        <v>2</v>
      </c>
      <c r="F1123" t="inlineStr">
        <is>
          <t>16:00-24:00</t>
        </is>
      </c>
      <c r="H1123" t="inlineStr">
        <is>
          <t>Corrupted Land</t>
        </is>
      </c>
    </row>
    <row r="1124">
      <c r="A1124" t="inlineStr">
        <is>
          <t>2026-10-03</t>
        </is>
      </c>
      <c r="B1124" t="inlineStr">
        <is>
          <t>Sat</t>
        </is>
      </c>
      <c r="C1124" t="inlineStr">
        <is>
          <t>Farming</t>
        </is>
      </c>
      <c r="D1124" t="inlineStr">
        <is>
          <t>Kangaroo</t>
        </is>
      </c>
      <c r="E1124" t="n">
        <v>3</v>
      </c>
      <c r="F1124" t="inlineStr">
        <is>
          <t>24:00-08:00</t>
        </is>
      </c>
      <c r="H1124" t="inlineStr">
        <is>
          <t>Corrupted Land</t>
        </is>
      </c>
    </row>
    <row r="1125">
      <c r="A1125" t="inlineStr">
        <is>
          <t>2026-10-03</t>
        </is>
      </c>
      <c r="B1125" t="inlineStr">
        <is>
          <t>Sat</t>
        </is>
      </c>
      <c r="C1125" t="inlineStr">
        <is>
          <t>Farming</t>
        </is>
      </c>
      <c r="D1125" t="inlineStr">
        <is>
          <t>Kyoryu</t>
        </is>
      </c>
      <c r="E1125" t="n">
        <v>1</v>
      </c>
      <c r="F1125" t="inlineStr">
        <is>
          <t>08:00-16:00</t>
        </is>
      </c>
    </row>
    <row r="1126">
      <c r="A1126" t="inlineStr">
        <is>
          <t>2026-10-03</t>
        </is>
      </c>
      <c r="B1126" t="inlineStr">
        <is>
          <t>Sat</t>
        </is>
      </c>
      <c r="C1126" t="inlineStr">
        <is>
          <t>Farming</t>
        </is>
      </c>
      <c r="D1126" t="inlineStr">
        <is>
          <t>Kyoryu</t>
        </is>
      </c>
      <c r="E1126" t="n">
        <v>2</v>
      </c>
      <c r="F1126" t="inlineStr">
        <is>
          <t>16:00-24:00</t>
        </is>
      </c>
      <c r="H1126" t="inlineStr">
        <is>
          <t>ELMORE &amp; DD</t>
        </is>
      </c>
    </row>
    <row r="1127">
      <c r="A1127" t="inlineStr">
        <is>
          <t>2026-10-03</t>
        </is>
      </c>
      <c r="B1127" t="inlineStr">
        <is>
          <t>Sat</t>
        </is>
      </c>
      <c r="C1127" t="inlineStr">
        <is>
          <t>Farming</t>
        </is>
      </c>
      <c r="D1127" t="inlineStr">
        <is>
          <t>Kyoryu</t>
        </is>
      </c>
      <c r="E1127" t="n">
        <v>3</v>
      </c>
      <c r="F1127" t="inlineStr">
        <is>
          <t>24:00-08:00</t>
        </is>
      </c>
      <c r="H1127" t="inlineStr">
        <is>
          <t>Elmore</t>
        </is>
      </c>
    </row>
    <row r="1128">
      <c r="A1128" t="inlineStr">
        <is>
          <t>2026-10-03</t>
        </is>
      </c>
      <c r="B1128" t="inlineStr">
        <is>
          <t>Sat</t>
        </is>
      </c>
      <c r="C1128" t="inlineStr">
        <is>
          <t>Farming</t>
        </is>
      </c>
      <c r="D1128" t="inlineStr">
        <is>
          <t>Marcelo</t>
        </is>
      </c>
      <c r="E1128" t="n">
        <v>1</v>
      </c>
      <c r="F1128" t="inlineStr">
        <is>
          <t>08:00-16:00</t>
        </is>
      </c>
    </row>
    <row r="1129">
      <c r="A1129" t="inlineStr">
        <is>
          <t>2026-10-03</t>
        </is>
      </c>
      <c r="B1129" t="inlineStr">
        <is>
          <t>Sat</t>
        </is>
      </c>
      <c r="C1129" t="inlineStr">
        <is>
          <t>Farming</t>
        </is>
      </c>
      <c r="D1129" t="inlineStr">
        <is>
          <t>Marcelo</t>
        </is>
      </c>
      <c r="E1129" t="n">
        <v>2</v>
      </c>
      <c r="F1129" t="inlineStr">
        <is>
          <t>16:00-24:00</t>
        </is>
      </c>
      <c r="H1129" t="inlineStr">
        <is>
          <t>ELMORE &amp; DD</t>
        </is>
      </c>
    </row>
    <row r="1130">
      <c r="A1130" t="inlineStr">
        <is>
          <t>2026-10-03</t>
        </is>
      </c>
      <c r="B1130" t="inlineStr">
        <is>
          <t>Sat</t>
        </is>
      </c>
      <c r="C1130" t="inlineStr">
        <is>
          <t>Farming</t>
        </is>
      </c>
      <c r="D1130" t="inlineStr">
        <is>
          <t>Marcelo</t>
        </is>
      </c>
      <c r="E1130" t="n">
        <v>3</v>
      </c>
      <c r="F1130" t="inlineStr">
        <is>
          <t>24:00-08:00</t>
        </is>
      </c>
      <c r="H1130" t="inlineStr">
        <is>
          <t>Elmore</t>
        </is>
      </c>
    </row>
    <row r="1131">
      <c r="A1131" t="inlineStr">
        <is>
          <t>2026-10-03</t>
        </is>
      </c>
      <c r="B1131" t="inlineStr">
        <is>
          <t>Sat</t>
        </is>
      </c>
      <c r="C1131" t="inlineStr">
        <is>
          <t>Farming</t>
        </is>
      </c>
      <c r="D1131" t="inlineStr">
        <is>
          <t>OldBlood</t>
        </is>
      </c>
      <c r="E1131" t="n">
        <v>1</v>
      </c>
      <c r="F1131" t="inlineStr">
        <is>
          <t>24:00-08:00</t>
        </is>
      </c>
    </row>
    <row r="1132">
      <c r="A1132" t="inlineStr">
        <is>
          <t>2026-10-03</t>
        </is>
      </c>
      <c r="B1132" t="inlineStr">
        <is>
          <t>Sat</t>
        </is>
      </c>
      <c r="C1132" t="inlineStr">
        <is>
          <t>Farming</t>
        </is>
      </c>
      <c r="D1132" t="inlineStr">
        <is>
          <t>Pele</t>
        </is>
      </c>
      <c r="E1132" t="n">
        <v>1</v>
      </c>
      <c r="F1132" t="inlineStr">
        <is>
          <t>08:00-16:00</t>
        </is>
      </c>
    </row>
    <row r="1133">
      <c r="A1133" t="inlineStr">
        <is>
          <t>2026-10-03</t>
        </is>
      </c>
      <c r="B1133" t="inlineStr">
        <is>
          <t>Sat</t>
        </is>
      </c>
      <c r="C1133" t="inlineStr">
        <is>
          <t>Farming</t>
        </is>
      </c>
      <c r="D1133" t="inlineStr">
        <is>
          <t>Pele</t>
        </is>
      </c>
      <c r="E1133" t="n">
        <v>2</v>
      </c>
      <c r="F1133" t="inlineStr">
        <is>
          <t>16:00-24:00</t>
        </is>
      </c>
      <c r="H1133" t="inlineStr">
        <is>
          <t>ANT &amp; ELMORE</t>
        </is>
      </c>
    </row>
    <row r="1134">
      <c r="A1134" t="inlineStr">
        <is>
          <t>2026-10-03</t>
        </is>
      </c>
      <c r="B1134" t="inlineStr">
        <is>
          <t>Sat</t>
        </is>
      </c>
      <c r="C1134" t="inlineStr">
        <is>
          <t>Farming</t>
        </is>
      </c>
      <c r="D1134" t="inlineStr">
        <is>
          <t>Pele</t>
        </is>
      </c>
      <c r="E1134" t="n">
        <v>3</v>
      </c>
      <c r="F1134" t="inlineStr">
        <is>
          <t>24:00-08:00</t>
        </is>
      </c>
      <c r="H1134" t="inlineStr">
        <is>
          <t>ELMORE</t>
        </is>
      </c>
    </row>
    <row r="1135">
      <c r="A1135" t="inlineStr">
        <is>
          <t>2026-10-03</t>
        </is>
      </c>
      <c r="B1135" t="inlineStr">
        <is>
          <t>Sat</t>
        </is>
      </c>
      <c r="C1135" t="inlineStr">
        <is>
          <t>Farming</t>
        </is>
      </c>
      <c r="D1135" t="inlineStr">
        <is>
          <t>Ronaldo</t>
        </is>
      </c>
      <c r="E1135" t="n">
        <v>1</v>
      </c>
      <c r="F1135" t="inlineStr">
        <is>
          <t>08:00-16:00</t>
        </is>
      </c>
    </row>
    <row r="1136">
      <c r="A1136" t="inlineStr">
        <is>
          <t>2026-10-03</t>
        </is>
      </c>
      <c r="B1136" t="inlineStr">
        <is>
          <t>Sat</t>
        </is>
      </c>
      <c r="C1136" t="inlineStr">
        <is>
          <t>Farming</t>
        </is>
      </c>
      <c r="D1136" t="inlineStr">
        <is>
          <t>Ronaldo</t>
        </is>
      </c>
      <c r="E1136" t="n">
        <v>2</v>
      </c>
      <c r="F1136" t="inlineStr">
        <is>
          <t>16:00-24:00</t>
        </is>
      </c>
      <c r="H1136" t="inlineStr">
        <is>
          <t>Ivory Tower 4~5</t>
        </is>
      </c>
    </row>
    <row r="1137">
      <c r="A1137" t="inlineStr">
        <is>
          <t>2026-10-03</t>
        </is>
      </c>
      <c r="B1137" t="inlineStr">
        <is>
          <t>Sat</t>
        </is>
      </c>
      <c r="C1137" t="inlineStr">
        <is>
          <t>Farming</t>
        </is>
      </c>
      <c r="D1137" t="inlineStr">
        <is>
          <t>Ronaldo</t>
        </is>
      </c>
      <c r="E1137" t="n">
        <v>3</v>
      </c>
      <c r="F1137" t="inlineStr">
        <is>
          <t>24:00-08:00</t>
        </is>
      </c>
      <c r="H1137" t="inlineStr">
        <is>
          <t>Ivory flr4&amp;5</t>
        </is>
      </c>
    </row>
    <row r="1138">
      <c r="A1138" t="inlineStr">
        <is>
          <t>2026-10-03</t>
        </is>
      </c>
      <c r="B1138" t="inlineStr">
        <is>
          <t>Sat</t>
        </is>
      </c>
      <c r="C1138" t="inlineStr">
        <is>
          <t>Farming</t>
        </is>
      </c>
      <c r="D1138" t="inlineStr">
        <is>
          <t>Sarim</t>
        </is>
      </c>
      <c r="E1138" t="n">
        <v>1</v>
      </c>
      <c r="F1138" t="inlineStr">
        <is>
          <t>08:00-16:00</t>
        </is>
      </c>
    </row>
    <row r="1139">
      <c r="A1139" t="inlineStr">
        <is>
          <t>2026-10-03</t>
        </is>
      </c>
      <c r="B1139" t="inlineStr">
        <is>
          <t>Sat</t>
        </is>
      </c>
      <c r="C1139" t="inlineStr">
        <is>
          <t>Farming</t>
        </is>
      </c>
      <c r="D1139" t="inlineStr">
        <is>
          <t>Sarim</t>
        </is>
      </c>
      <c r="E1139" t="n">
        <v>2</v>
      </c>
      <c r="F1139" t="inlineStr">
        <is>
          <t>16:00-24:00</t>
        </is>
      </c>
      <c r="H1139" t="inlineStr">
        <is>
          <t>ELMORE &amp; DD</t>
        </is>
      </c>
    </row>
    <row r="1140">
      <c r="A1140" t="inlineStr">
        <is>
          <t>2026-10-03</t>
        </is>
      </c>
      <c r="B1140" t="inlineStr">
        <is>
          <t>Sat</t>
        </is>
      </c>
      <c r="C1140" t="inlineStr">
        <is>
          <t>Farming</t>
        </is>
      </c>
      <c r="D1140" t="inlineStr">
        <is>
          <t>Sarim</t>
        </is>
      </c>
      <c r="E1140" t="n">
        <v>3</v>
      </c>
      <c r="F1140" t="inlineStr">
        <is>
          <t>24:00-08:00</t>
        </is>
      </c>
      <c r="H1140" t="inlineStr">
        <is>
          <t>Elmore</t>
        </is>
      </c>
    </row>
    <row r="1141">
      <c r="A1141" t="inlineStr">
        <is>
          <t>2026-10-03</t>
        </is>
      </c>
      <c r="B1141" t="inlineStr">
        <is>
          <t>Sat</t>
        </is>
      </c>
      <c r="C1141" t="inlineStr">
        <is>
          <t>Farming</t>
        </is>
      </c>
      <c r="D1141" t="inlineStr">
        <is>
          <t>Sinsang</t>
        </is>
      </c>
      <c r="E1141" t="n">
        <v>1</v>
      </c>
      <c r="F1141" t="inlineStr">
        <is>
          <t>24:00-08:00</t>
        </is>
      </c>
    </row>
    <row r="1142">
      <c r="A1142" t="inlineStr">
        <is>
          <t>2026-10-03</t>
        </is>
      </c>
      <c r="B1142" t="inlineStr">
        <is>
          <t>Sat</t>
        </is>
      </c>
      <c r="C1142" t="inlineStr">
        <is>
          <t>Farming</t>
        </is>
      </c>
      <c r="D1142" t="inlineStr">
        <is>
          <t>Sudden</t>
        </is>
      </c>
      <c r="E1142" t="n">
        <v>1</v>
      </c>
      <c r="F1142" t="inlineStr">
        <is>
          <t>08:00-16:00</t>
        </is>
      </c>
    </row>
    <row r="1143">
      <c r="A1143" t="inlineStr">
        <is>
          <t>2026-10-03</t>
        </is>
      </c>
      <c r="B1143" t="inlineStr">
        <is>
          <t>Sat</t>
        </is>
      </c>
      <c r="C1143" t="inlineStr">
        <is>
          <t>Farming</t>
        </is>
      </c>
      <c r="D1143" t="inlineStr">
        <is>
          <t>Sudden</t>
        </is>
      </c>
      <c r="E1143" t="n">
        <v>2</v>
      </c>
      <c r="F1143" t="inlineStr">
        <is>
          <t>16:00-24:00</t>
        </is>
      </c>
      <c r="H1143" t="inlineStr">
        <is>
          <t>ELMORE &amp; DD</t>
        </is>
      </c>
    </row>
    <row r="1144">
      <c r="A1144" t="inlineStr">
        <is>
          <t>2026-10-03</t>
        </is>
      </c>
      <c r="B1144" t="inlineStr">
        <is>
          <t>Sat</t>
        </is>
      </c>
      <c r="C1144" t="inlineStr">
        <is>
          <t>Farming</t>
        </is>
      </c>
      <c r="D1144" t="inlineStr">
        <is>
          <t>Sudden</t>
        </is>
      </c>
      <c r="E1144" t="n">
        <v>3</v>
      </c>
      <c r="F1144" t="inlineStr">
        <is>
          <t>24:00-08:00</t>
        </is>
      </c>
      <c r="H1144" t="inlineStr">
        <is>
          <t>Elmore</t>
        </is>
      </c>
    </row>
    <row r="1145">
      <c r="A1145" t="inlineStr">
        <is>
          <t>2026-10-03</t>
        </is>
      </c>
      <c r="B1145" t="inlineStr">
        <is>
          <t>Sat</t>
        </is>
      </c>
      <c r="C1145" t="inlineStr">
        <is>
          <t>Farming</t>
        </is>
      </c>
      <c r="D1145" t="inlineStr">
        <is>
          <t>Sunsang</t>
        </is>
      </c>
      <c r="E1145" t="n">
        <v>1</v>
      </c>
      <c r="F1145" t="inlineStr">
        <is>
          <t>24:00-08:00</t>
        </is>
      </c>
    </row>
    <row r="1146">
      <c r="A1146" t="inlineStr">
        <is>
          <t>2026-10-03</t>
        </is>
      </c>
      <c r="B1146" t="inlineStr">
        <is>
          <t>Sat</t>
        </is>
      </c>
      <c r="C1146" t="inlineStr">
        <is>
          <t>Farming</t>
        </is>
      </c>
      <c r="D1146" t="inlineStr">
        <is>
          <t>Sunsang</t>
        </is>
      </c>
      <c r="E1146" t="n">
        <v>2</v>
      </c>
      <c r="F1146" t="inlineStr">
        <is>
          <t>24:00-08:00</t>
        </is>
      </c>
    </row>
    <row r="1147">
      <c r="A1147" t="inlineStr">
        <is>
          <t>2026-10-03</t>
        </is>
      </c>
      <c r="B1147" t="inlineStr">
        <is>
          <t>Sat</t>
        </is>
      </c>
      <c r="C1147" t="inlineStr">
        <is>
          <t>Farming</t>
        </is>
      </c>
      <c r="D1147" t="inlineStr">
        <is>
          <t>Taejo</t>
        </is>
      </c>
      <c r="E1147" t="n">
        <v>1</v>
      </c>
      <c r="F1147" t="inlineStr">
        <is>
          <t>08:00-16:00</t>
        </is>
      </c>
    </row>
    <row r="1148">
      <c r="A1148" t="inlineStr">
        <is>
          <t>2026-10-03</t>
        </is>
      </c>
      <c r="B1148" t="inlineStr">
        <is>
          <t>Sat</t>
        </is>
      </c>
      <c r="C1148" t="inlineStr">
        <is>
          <t>Farming</t>
        </is>
      </c>
      <c r="D1148" t="inlineStr">
        <is>
          <t>Taejo</t>
        </is>
      </c>
      <c r="E1148" t="n">
        <v>2</v>
      </c>
      <c r="F1148" t="inlineStr">
        <is>
          <t>16:00-24:00</t>
        </is>
      </c>
      <c r="H1148" t="inlineStr">
        <is>
          <t>ELMORE &amp; DD</t>
        </is>
      </c>
    </row>
    <row r="1149">
      <c r="A1149" t="inlineStr">
        <is>
          <t>2026-10-03</t>
        </is>
      </c>
      <c r="B1149" t="inlineStr">
        <is>
          <t>Sat</t>
        </is>
      </c>
      <c r="C1149" t="inlineStr">
        <is>
          <t>Farming</t>
        </is>
      </c>
      <c r="D1149" t="inlineStr">
        <is>
          <t>Taejo</t>
        </is>
      </c>
      <c r="E1149" t="n">
        <v>3</v>
      </c>
      <c r="F1149" t="inlineStr">
        <is>
          <t>24:00-08:00</t>
        </is>
      </c>
      <c r="H1149" t="inlineStr">
        <is>
          <t>Elmore</t>
        </is>
      </c>
    </row>
  </sheetData>
  <autoFilter ref="A1:O1"/>
  <dataValidations count="1">
    <dataValidation sqref="C2:C50000" showDropDown="0" showInputMessage="0" showErrorMessage="0" allowBlank="0" type="list">
      <formula1>"Client,Farming"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12" customWidth="1" min="5" max="5"/>
    <col width="40" customWidth="1" min="6" max="6"/>
    <col width="14" customWidth="1" min="7" max="7"/>
    <col width="12" customWidth="1" min="8" max="8"/>
    <col width="9" customWidth="1" min="9" max="9"/>
    <col width="11" customWidth="1" min="10" max="10"/>
    <col width="30" customWidth="1" min="11" max="11"/>
  </cols>
  <sheetData>
    <row r="1">
      <c r="A1" s="4" t="inlineStr">
        <is>
          <t>Account</t>
        </is>
      </c>
      <c r="B1" s="4" t="inlineStr">
        <is>
          <t>Type</t>
        </is>
      </c>
      <c r="C1" s="4" t="inlineStr">
        <is>
          <t>Class</t>
        </is>
      </c>
      <c r="D1" s="4" t="inlineStr">
        <is>
          <t>Server</t>
        </is>
      </c>
      <c r="E1" s="4" t="inlineStr">
        <is>
          <t>KoreanName</t>
        </is>
      </c>
      <c r="F1" s="4" t="inlineStr">
        <is>
          <t>Aliases</t>
        </is>
      </c>
      <c r="G1" s="4" t="inlineStr">
        <is>
          <t>Customer</t>
        </is>
      </c>
      <c r="H1" s="4" t="inlineStr">
        <is>
          <t>SalesRep</t>
        </is>
      </c>
      <c r="I1" s="4" t="inlineStr">
        <is>
          <t>Status</t>
        </is>
      </c>
      <c r="J1" s="4" t="inlineStr">
        <is>
          <t>StartDate</t>
        </is>
      </c>
      <c r="K1" s="4" t="inlineStr">
        <is>
          <t>Notes</t>
        </is>
      </c>
    </row>
    <row r="2">
      <c r="A2" t="inlineStr">
        <is>
          <t>ADA</t>
        </is>
      </c>
      <c r="B2" t="inlineStr">
        <is>
          <t>Client</t>
        </is>
      </c>
      <c r="C2" t="inlineStr">
        <is>
          <t>Knight</t>
        </is>
      </c>
      <c r="D2" t="inlineStr"/>
      <c r="E2" t="inlineStr"/>
      <c r="F2" t="inlineStr">
        <is>
          <t>ADA (Knight)|ADA-Knight|Ada</t>
        </is>
      </c>
      <c r="G2" t="inlineStr"/>
      <c r="H2" t="inlineStr"/>
      <c r="I2" t="inlineStr">
        <is>
          <t>Active</t>
        </is>
      </c>
      <c r="J2" t="inlineStr"/>
      <c r="K2" t="inlineStr"/>
    </row>
    <row r="3">
      <c r="A3" t="inlineStr">
        <is>
          <t>Alex</t>
        </is>
      </c>
      <c r="B3" t="inlineStr">
        <is>
          <t>Client</t>
        </is>
      </c>
      <c r="C3" t="inlineStr">
        <is>
          <t>Knight</t>
        </is>
      </c>
      <c r="D3" t="inlineStr">
        <is>
          <t>아툰</t>
        </is>
      </c>
      <c r="E3" t="inlineStr"/>
      <c r="F3" t="inlineStr">
        <is>
          <t>Alex Acc 31 Lv|Alex-Knight</t>
        </is>
      </c>
      <c r="G3" t="inlineStr"/>
      <c r="H3" t="inlineStr"/>
      <c r="I3" t="inlineStr">
        <is>
          <t>Active</t>
        </is>
      </c>
      <c r="J3" t="inlineStr"/>
      <c r="K3" t="inlineStr"/>
    </row>
    <row r="4">
      <c r="A4" t="inlineStr">
        <is>
          <t>Beongaebul</t>
        </is>
      </c>
      <c r="B4" t="inlineStr">
        <is>
          <t>Client</t>
        </is>
      </c>
      <c r="C4" t="inlineStr"/>
      <c r="D4" t="inlineStr"/>
      <c r="E4" t="inlineStr"/>
      <c r="F4" t="inlineStr"/>
      <c r="G4" t="inlineStr"/>
      <c r="H4" t="inlineStr"/>
      <c r="I4" t="inlineStr">
        <is>
          <t>Active</t>
        </is>
      </c>
      <c r="J4" t="inlineStr"/>
      <c r="K4" t="inlineStr"/>
    </row>
    <row r="5">
      <c r="A5" t="inlineStr">
        <is>
          <t>Captain</t>
        </is>
      </c>
      <c r="B5" t="inlineStr">
        <is>
          <t>Client</t>
        </is>
      </c>
      <c r="C5" t="inlineStr">
        <is>
          <t>Prince</t>
        </is>
      </c>
      <c r="D5" t="inlineStr"/>
      <c r="E5" t="inlineStr"/>
      <c r="F5" t="inlineStr">
        <is>
          <t>Captain - Lord (Prince)|Lord - Prince|Lord Prince</t>
        </is>
      </c>
      <c r="G5" t="inlineStr"/>
      <c r="H5" t="inlineStr"/>
      <c r="I5" t="inlineStr">
        <is>
          <t>Active</t>
        </is>
      </c>
      <c r="J5" t="inlineStr"/>
      <c r="K5" t="inlineStr"/>
    </row>
    <row r="6">
      <c r="A6" t="inlineStr">
        <is>
          <t>Dalo</t>
        </is>
      </c>
      <c r="B6" t="inlineStr">
        <is>
          <t>Client</t>
        </is>
      </c>
      <c r="C6" t="inlineStr">
        <is>
          <t>Knight</t>
        </is>
      </c>
      <c r="D6" t="inlineStr"/>
      <c r="E6" t="inlineStr"/>
      <c r="F6" t="inlineStr">
        <is>
          <t>Dal-o|Dal-o-Knight|Dalo-Knight</t>
        </is>
      </c>
      <c r="G6" t="inlineStr"/>
      <c r="H6" t="inlineStr"/>
      <c r="I6" t="inlineStr">
        <is>
          <t>Active</t>
        </is>
      </c>
      <c r="J6" t="inlineStr"/>
      <c r="K6" t="inlineStr"/>
    </row>
    <row r="7">
      <c r="A7" t="inlineStr">
        <is>
          <t>Dodam</t>
        </is>
      </c>
      <c r="B7" t="inlineStr">
        <is>
          <t>Client</t>
        </is>
      </c>
      <c r="C7" t="inlineStr">
        <is>
          <t>Elf</t>
        </is>
      </c>
      <c r="D7" t="inlineStr"/>
      <c r="E7" t="inlineStr"/>
      <c r="F7" t="inlineStr">
        <is>
          <t>Dodam-Elf</t>
        </is>
      </c>
      <c r="G7" t="inlineStr"/>
      <c r="H7" t="inlineStr"/>
      <c r="I7" t="inlineStr">
        <is>
          <t>Active</t>
        </is>
      </c>
      <c r="J7" t="inlineStr"/>
      <c r="K7" t="inlineStr"/>
    </row>
    <row r="8">
      <c r="A8" t="inlineStr">
        <is>
          <t>Dol</t>
        </is>
      </c>
      <c r="B8" t="inlineStr">
        <is>
          <t>Client</t>
        </is>
      </c>
      <c r="C8" t="inlineStr">
        <is>
          <t>Knight</t>
        </is>
      </c>
      <c r="D8" t="inlineStr"/>
      <c r="E8" t="inlineStr"/>
      <c r="F8" t="inlineStr">
        <is>
          <t>Dol-Knight</t>
        </is>
      </c>
      <c r="G8" t="inlineStr"/>
      <c r="H8" t="inlineStr"/>
      <c r="I8" t="inlineStr">
        <is>
          <t>Active</t>
        </is>
      </c>
      <c r="J8" t="inlineStr"/>
      <c r="K8" t="inlineStr"/>
    </row>
    <row r="9">
      <c r="A9" t="inlineStr">
        <is>
          <t>Doma</t>
        </is>
      </c>
      <c r="B9" t="inlineStr">
        <is>
          <t>Client</t>
        </is>
      </c>
      <c r="C9" t="inlineStr">
        <is>
          <t>Knight</t>
        </is>
      </c>
      <c r="D9" t="inlineStr"/>
      <c r="E9" t="inlineStr"/>
      <c r="F9" t="inlineStr">
        <is>
          <t>Doma-Knight</t>
        </is>
      </c>
      <c r="G9" t="inlineStr"/>
      <c r="H9" t="inlineStr"/>
      <c r="I9" t="inlineStr">
        <is>
          <t>Active</t>
        </is>
      </c>
      <c r="J9" t="inlineStr"/>
      <c r="K9" t="inlineStr"/>
    </row>
    <row r="10">
      <c r="A10" t="inlineStr">
        <is>
          <t>Duga</t>
        </is>
      </c>
      <c r="B10" t="inlineStr">
        <is>
          <t>Client</t>
        </is>
      </c>
      <c r="C10" t="inlineStr">
        <is>
          <t>Knight</t>
        </is>
      </c>
      <c r="D10" t="inlineStr"/>
      <c r="E10" t="inlineStr"/>
      <c r="F10" t="inlineStr">
        <is>
          <t>Duga - Knight|Duga-Knight</t>
        </is>
      </c>
      <c r="G10" t="inlineStr"/>
      <c r="H10" t="inlineStr"/>
      <c r="I10" t="inlineStr">
        <is>
          <t>Active</t>
        </is>
      </c>
      <c r="J10" t="inlineStr"/>
      <c r="K10" t="inlineStr"/>
    </row>
    <row r="11">
      <c r="A11" t="inlineStr">
        <is>
          <t>Elf</t>
        </is>
      </c>
      <c r="B11" t="inlineStr">
        <is>
          <t>Client</t>
        </is>
      </c>
      <c r="C11" t="inlineStr">
        <is>
          <t>Elf</t>
        </is>
      </c>
      <c r="D11" t="inlineStr"/>
      <c r="E11" t="inlineStr"/>
      <c r="F11" t="inlineStr">
        <is>
          <t>Elf-Elf</t>
        </is>
      </c>
      <c r="G11" t="inlineStr"/>
      <c r="H11" t="inlineStr"/>
      <c r="I11" t="inlineStr">
        <is>
          <t>Active</t>
        </is>
      </c>
      <c r="J11" t="inlineStr"/>
      <c r="K11" t="inlineStr"/>
    </row>
    <row r="12">
      <c r="A12" t="inlineStr">
        <is>
          <t>Geonbae</t>
        </is>
      </c>
      <c r="B12" t="inlineStr">
        <is>
          <t>Client</t>
        </is>
      </c>
      <c r="C12" t="inlineStr">
        <is>
          <t>Elf</t>
        </is>
      </c>
      <c r="D12" t="inlineStr"/>
      <c r="E12" t="inlineStr"/>
      <c r="F12" t="inlineStr">
        <is>
          <t>Geonbae-Elf</t>
        </is>
      </c>
      <c r="G12" t="inlineStr"/>
      <c r="H12" t="inlineStr"/>
      <c r="I12" t="inlineStr">
        <is>
          <t>Active</t>
        </is>
      </c>
      <c r="J12" t="inlineStr"/>
      <c r="K12" t="inlineStr"/>
    </row>
    <row r="13">
      <c r="A13" t="inlineStr">
        <is>
          <t>Goop</t>
        </is>
      </c>
      <c r="B13" t="inlineStr">
        <is>
          <t>Client</t>
        </is>
      </c>
      <c r="C13" t="inlineStr">
        <is>
          <t>Wizard</t>
        </is>
      </c>
      <c r="D13" t="inlineStr"/>
      <c r="E13" t="inlineStr"/>
      <c r="F13" t="inlineStr">
        <is>
          <t>Goop - Wizard</t>
        </is>
      </c>
      <c r="G13" t="inlineStr"/>
      <c r="H13" t="inlineStr"/>
      <c r="I13" t="inlineStr">
        <is>
          <t>Active</t>
        </is>
      </c>
      <c r="J13" t="inlineStr"/>
      <c r="K13" t="inlineStr"/>
    </row>
    <row r="14">
      <c r="A14" t="inlineStr">
        <is>
          <t>Heon</t>
        </is>
      </c>
      <c r="B14" t="inlineStr">
        <is>
          <t>Client</t>
        </is>
      </c>
      <c r="C14" t="inlineStr">
        <is>
          <t>Knight</t>
        </is>
      </c>
      <c r="D14" t="inlineStr"/>
      <c r="E14" t="inlineStr"/>
      <c r="F14" t="inlineStr">
        <is>
          <t>Heon-Knight</t>
        </is>
      </c>
      <c r="G14" t="inlineStr"/>
      <c r="H14" t="inlineStr"/>
      <c r="I14" t="inlineStr">
        <is>
          <t>Active</t>
        </is>
      </c>
      <c r="J14" t="inlineStr"/>
      <c r="K14" t="inlineStr"/>
    </row>
    <row r="15">
      <c r="A15" t="inlineStr">
        <is>
          <t>Jjuni</t>
        </is>
      </c>
      <c r="B15" t="inlineStr">
        <is>
          <t>Client</t>
        </is>
      </c>
      <c r="C15" t="inlineStr">
        <is>
          <t>Knight</t>
        </is>
      </c>
      <c r="D15" t="inlineStr"/>
      <c r="E15" t="inlineStr"/>
      <c r="F15" t="inlineStr">
        <is>
          <t>Jjuni-Knight</t>
        </is>
      </c>
      <c r="G15" t="inlineStr"/>
      <c r="H15" t="inlineStr"/>
      <c r="I15" t="inlineStr">
        <is>
          <t>Active</t>
        </is>
      </c>
      <c r="J15" t="inlineStr"/>
      <c r="K15" t="inlineStr"/>
    </row>
    <row r="16">
      <c r="A16" t="inlineStr">
        <is>
          <t>Jo</t>
        </is>
      </c>
      <c r="B16" t="inlineStr">
        <is>
          <t>Client</t>
        </is>
      </c>
      <c r="C16" t="inlineStr">
        <is>
          <t>Elf</t>
        </is>
      </c>
      <c r="D16" t="inlineStr"/>
      <c r="E16" t="inlineStr"/>
      <c r="F16" t="inlineStr">
        <is>
          <t>Jo-Fairy</t>
        </is>
      </c>
      <c r="G16" t="inlineStr"/>
      <c r="H16" t="inlineStr"/>
      <c r="I16" t="inlineStr">
        <is>
          <t>Active</t>
        </is>
      </c>
      <c r="J16" t="inlineStr"/>
      <c r="K16" t="inlineStr"/>
    </row>
    <row r="17">
      <c r="A17" t="inlineStr">
        <is>
          <t>Lammy Queen</t>
        </is>
      </c>
      <c r="B17" t="inlineStr">
        <is>
          <t>Client</t>
        </is>
      </c>
      <c r="C17" t="inlineStr">
        <is>
          <t>Elf</t>
        </is>
      </c>
      <c r="D17" t="inlineStr"/>
      <c r="E17" t="inlineStr"/>
      <c r="F17" t="inlineStr">
        <is>
          <t>Lammy|Lammy Queen - Elf</t>
        </is>
      </c>
      <c r="G17" t="inlineStr"/>
      <c r="H17" t="inlineStr"/>
      <c r="I17" t="inlineStr">
        <is>
          <t>Active</t>
        </is>
      </c>
      <c r="J17" t="inlineStr"/>
      <c r="K17" t="inlineStr"/>
    </row>
    <row r="18">
      <c r="A18" t="inlineStr">
        <is>
          <t>Lolly</t>
        </is>
      </c>
      <c r="B18" t="inlineStr">
        <is>
          <t>Client</t>
        </is>
      </c>
      <c r="C18" t="inlineStr">
        <is>
          <t>Elf</t>
        </is>
      </c>
      <c r="D18" t="inlineStr"/>
      <c r="E18" t="inlineStr"/>
      <c r="F18" t="inlineStr">
        <is>
          <t>Lolly Elf</t>
        </is>
      </c>
      <c r="G18" t="inlineStr"/>
      <c r="H18" t="inlineStr"/>
      <c r="I18" t="inlineStr">
        <is>
          <t>Active</t>
        </is>
      </c>
      <c r="J18" t="inlineStr"/>
      <c r="K18" t="inlineStr"/>
    </row>
    <row r="19">
      <c r="A19" t="inlineStr">
        <is>
          <t>Mukkbo</t>
        </is>
      </c>
      <c r="B19" t="inlineStr">
        <is>
          <t>Client</t>
        </is>
      </c>
      <c r="C19" t="inlineStr">
        <is>
          <t>Knight</t>
        </is>
      </c>
      <c r="D19" t="inlineStr"/>
      <c r="E19" t="inlineStr"/>
      <c r="F19" t="inlineStr">
        <is>
          <t>Mukkbo-Knight</t>
        </is>
      </c>
      <c r="G19" t="inlineStr"/>
      <c r="H19" t="inlineStr"/>
      <c r="I19" t="inlineStr">
        <is>
          <t>Active</t>
        </is>
      </c>
      <c r="J19" t="inlineStr"/>
      <c r="K19" t="inlineStr"/>
    </row>
    <row r="20">
      <c r="A20" t="inlineStr">
        <is>
          <t>Munjin</t>
        </is>
      </c>
      <c r="B20" t="inlineStr">
        <is>
          <t>Client</t>
        </is>
      </c>
      <c r="C20" t="inlineStr">
        <is>
          <t>Knight</t>
        </is>
      </c>
      <c r="D20" t="inlineStr"/>
      <c r="E20" t="inlineStr"/>
      <c r="F20" t="inlineStr">
        <is>
          <t>Munjin-Knight</t>
        </is>
      </c>
      <c r="G20" t="inlineStr"/>
      <c r="H20" t="inlineStr"/>
      <c r="I20" t="inlineStr">
        <is>
          <t>Active</t>
        </is>
      </c>
      <c r="J20" t="inlineStr"/>
      <c r="K20" t="inlineStr"/>
    </row>
    <row r="21">
      <c r="A21" t="inlineStr">
        <is>
          <t>Neburegi</t>
        </is>
      </c>
      <c r="B21" t="inlineStr">
        <is>
          <t>Client</t>
        </is>
      </c>
      <c r="C21" t="inlineStr">
        <is>
          <t>Wizard</t>
        </is>
      </c>
      <c r="D21" t="inlineStr"/>
      <c r="E21" t="inlineStr"/>
      <c r="F21" t="inlineStr">
        <is>
          <t>Neburegi-Wizzard Heal</t>
        </is>
      </c>
      <c r="G21" t="inlineStr"/>
      <c r="H21" t="inlineStr"/>
      <c r="I21" t="inlineStr">
        <is>
          <t>Active</t>
        </is>
      </c>
      <c r="J21" t="inlineStr"/>
      <c r="K21" t="inlineStr"/>
    </row>
    <row r="22">
      <c r="A22" t="inlineStr">
        <is>
          <t>Olleh</t>
        </is>
      </c>
      <c r="B22" t="inlineStr">
        <is>
          <t>Client</t>
        </is>
      </c>
      <c r="C22" t="inlineStr">
        <is>
          <t>Knight</t>
        </is>
      </c>
      <c r="D22" t="inlineStr"/>
      <c r="E22" t="inlineStr"/>
      <c r="F22" t="inlineStr">
        <is>
          <t>Olleh-Knight|Olleh-knight</t>
        </is>
      </c>
      <c r="G22" t="inlineStr"/>
      <c r="H22" t="inlineStr"/>
      <c r="I22" t="inlineStr">
        <is>
          <t>Active</t>
        </is>
      </c>
      <c r="J22" t="inlineStr"/>
      <c r="K22" t="inlineStr"/>
    </row>
    <row r="23">
      <c r="A23" t="inlineStr">
        <is>
          <t>Perez</t>
        </is>
      </c>
      <c r="B23" t="inlineStr">
        <is>
          <t>Client</t>
        </is>
      </c>
      <c r="C23" t="inlineStr"/>
      <c r="D23" t="inlineStr">
        <is>
          <t>아툰</t>
        </is>
      </c>
      <c r="E23" t="inlineStr">
        <is>
          <t>베레스</t>
        </is>
      </c>
      <c r="F23" t="inlineStr">
        <is>
          <t>Perez-Spatoy|Spatoy</t>
        </is>
      </c>
      <c r="G23" t="inlineStr"/>
      <c r="H23" t="inlineStr"/>
      <c r="I23" t="inlineStr">
        <is>
          <t>Active</t>
        </is>
      </c>
      <c r="J23" t="inlineStr"/>
      <c r="K23" t="inlineStr"/>
    </row>
    <row r="24">
      <c r="A24" t="inlineStr">
        <is>
          <t>Power20</t>
        </is>
      </c>
      <c r="B24" t="inlineStr">
        <is>
          <t>Client</t>
        </is>
      </c>
      <c r="C24" t="inlineStr">
        <is>
          <t>Knight</t>
        </is>
      </c>
      <c r="D24" t="inlineStr">
        <is>
          <t>아툰</t>
        </is>
      </c>
      <c r="E24" t="inlineStr">
        <is>
          <t>세상과짱뜬다</t>
        </is>
      </c>
      <c r="F24" t="inlineStr">
        <is>
          <t>Power|Power20 33Lv|Power20-Knight</t>
        </is>
      </c>
      <c r="G24" t="inlineStr"/>
      <c r="H24" t="inlineStr"/>
      <c r="I24" t="inlineStr">
        <is>
          <t>Active</t>
        </is>
      </c>
      <c r="J24" t="inlineStr"/>
      <c r="K24" t="inlineStr"/>
    </row>
    <row r="25">
      <c r="A25" t="inlineStr">
        <is>
          <t>Real Madrid</t>
        </is>
      </c>
      <c r="B25" t="inlineStr">
        <is>
          <t>Client</t>
        </is>
      </c>
      <c r="C25" t="inlineStr">
        <is>
          <t>Knight</t>
        </is>
      </c>
      <c r="D25" t="inlineStr"/>
      <c r="E25" t="inlineStr"/>
      <c r="F25" t="inlineStr">
        <is>
          <t>Real Madrid-Knight|Realmadrid</t>
        </is>
      </c>
      <c r="G25" t="inlineStr"/>
      <c r="H25" t="inlineStr"/>
      <c r="I25" t="inlineStr">
        <is>
          <t>Active</t>
        </is>
      </c>
      <c r="J25" t="inlineStr"/>
      <c r="K25" t="inlineStr"/>
    </row>
    <row r="26">
      <c r="A26" t="inlineStr">
        <is>
          <t>Return</t>
        </is>
      </c>
      <c r="B26" t="inlineStr">
        <is>
          <t>Client</t>
        </is>
      </c>
      <c r="C26" t="inlineStr">
        <is>
          <t>Knight</t>
        </is>
      </c>
      <c r="D26" t="inlineStr"/>
      <c r="E26" t="inlineStr"/>
      <c r="F26" t="inlineStr">
        <is>
          <t>Return-Knight</t>
        </is>
      </c>
      <c r="G26" t="inlineStr"/>
      <c r="H26" t="inlineStr"/>
      <c r="I26" t="inlineStr">
        <is>
          <t>Active</t>
        </is>
      </c>
      <c r="J26" t="inlineStr"/>
      <c r="K26" t="inlineStr"/>
    </row>
    <row r="27">
      <c r="A27" t="inlineStr">
        <is>
          <t>Road</t>
        </is>
      </c>
      <c r="B27" t="inlineStr">
        <is>
          <t>Client</t>
        </is>
      </c>
      <c r="C27" t="inlineStr"/>
      <c r="D27" t="inlineStr"/>
      <c r="E27" t="inlineStr"/>
      <c r="F27" t="inlineStr">
        <is>
          <t>Road- Best Players Only|Road- Best Players Only!</t>
        </is>
      </c>
      <c r="G27" t="inlineStr"/>
      <c r="H27" t="inlineStr"/>
      <c r="I27" t="inlineStr">
        <is>
          <t>Active</t>
        </is>
      </c>
      <c r="J27" t="inlineStr"/>
      <c r="K27" t="inlineStr"/>
    </row>
    <row r="28">
      <c r="A28" t="inlineStr">
        <is>
          <t>SSEN</t>
        </is>
      </c>
      <c r="B28" t="inlineStr">
        <is>
          <t>Client</t>
        </is>
      </c>
      <c r="C28" t="inlineStr"/>
      <c r="D28" t="inlineStr"/>
      <c r="E28" t="inlineStr"/>
      <c r="F28" t="inlineStr">
        <is>
          <t>Ssen</t>
        </is>
      </c>
      <c r="G28" t="inlineStr"/>
      <c r="H28" t="inlineStr"/>
      <c r="I28" t="inlineStr">
        <is>
          <t>Active</t>
        </is>
      </c>
      <c r="J28" t="inlineStr"/>
      <c r="K28" t="inlineStr"/>
    </row>
    <row r="29">
      <c r="A29" t="inlineStr">
        <is>
          <t>Tiger</t>
        </is>
      </c>
      <c r="B29" t="inlineStr">
        <is>
          <t>Client</t>
        </is>
      </c>
      <c r="C29" t="inlineStr">
        <is>
          <t>Knight</t>
        </is>
      </c>
      <c r="D29" t="inlineStr"/>
      <c r="E29" t="inlineStr"/>
      <c r="F29" t="inlineStr">
        <is>
          <t>Tiger-Knight</t>
        </is>
      </c>
      <c r="G29" t="inlineStr"/>
      <c r="H29" t="inlineStr"/>
      <c r="I29" t="inlineStr">
        <is>
          <t>Active</t>
        </is>
      </c>
      <c r="J29" t="inlineStr"/>
      <c r="K29" t="inlineStr"/>
    </row>
    <row r="30">
      <c r="A30" t="inlineStr">
        <is>
          <t>Yeoseo</t>
        </is>
      </c>
      <c r="B30" t="inlineStr">
        <is>
          <t>Client</t>
        </is>
      </c>
      <c r="C30" t="inlineStr">
        <is>
          <t>Elf</t>
        </is>
      </c>
      <c r="D30" t="inlineStr"/>
      <c r="E30" t="inlineStr"/>
      <c r="F30" t="inlineStr">
        <is>
          <t>yeoseo-elf</t>
        </is>
      </c>
      <c r="G30" t="inlineStr"/>
      <c r="H30" t="inlineStr"/>
      <c r="I30" t="inlineStr">
        <is>
          <t>Active</t>
        </is>
      </c>
      <c r="J30" t="inlineStr"/>
      <c r="K30" t="inlineStr"/>
    </row>
    <row r="31">
      <c r="A31" t="inlineStr">
        <is>
          <t>Zombie</t>
        </is>
      </c>
      <c r="B31" t="inlineStr">
        <is>
          <t>Client</t>
        </is>
      </c>
      <c r="C31" t="inlineStr">
        <is>
          <t>Knight</t>
        </is>
      </c>
      <c r="D31" t="inlineStr"/>
      <c r="E31" t="inlineStr"/>
      <c r="F31" t="inlineStr">
        <is>
          <t>Zombie(warrior)|Zombie-Knight</t>
        </is>
      </c>
      <c r="G31" t="inlineStr"/>
      <c r="H31" t="inlineStr"/>
      <c r="I31" t="inlineStr">
        <is>
          <t>Active</t>
        </is>
      </c>
      <c r="J31" t="inlineStr"/>
      <c r="K31" t="inlineStr"/>
    </row>
    <row r="32">
      <c r="A32" t="inlineStr">
        <is>
          <t>Bang</t>
        </is>
      </c>
      <c r="B32" t="inlineStr">
        <is>
          <t>Client</t>
        </is>
      </c>
      <c r="C32" t="inlineStr">
        <is>
          <t>Wizard</t>
        </is>
      </c>
      <c r="D32" t="inlineStr"/>
      <c r="E32" t="inlineStr"/>
      <c r="F32" t="inlineStr">
        <is>
          <t>Bang-Wizard|Bang-Wizzard</t>
        </is>
      </c>
      <c r="G32" t="inlineStr"/>
      <c r="H32" t="inlineStr"/>
      <c r="I32" t="inlineStr">
        <is>
          <t>Inactive</t>
        </is>
      </c>
      <c r="J32" t="inlineStr"/>
      <c r="K32" t="inlineStr"/>
    </row>
    <row r="33">
      <c r="A33" t="inlineStr">
        <is>
          <t>Bing</t>
        </is>
      </c>
      <c r="B33" t="inlineStr">
        <is>
          <t>Client</t>
        </is>
      </c>
      <c r="C33" t="inlineStr"/>
      <c r="D33" t="inlineStr"/>
      <c r="E33" t="inlineStr"/>
      <c r="F33" t="inlineStr">
        <is>
          <t>Bing (Linpower40)|Linpower40</t>
        </is>
      </c>
      <c r="G33" t="inlineStr"/>
      <c r="H33" t="inlineStr"/>
      <c r="I33" t="inlineStr">
        <is>
          <t>Inactive</t>
        </is>
      </c>
      <c r="J33" t="inlineStr"/>
      <c r="K33" t="inlineStr"/>
    </row>
    <row r="34">
      <c r="A34" t="inlineStr">
        <is>
          <t>Bob</t>
        </is>
      </c>
      <c r="B34" t="inlineStr">
        <is>
          <t>Client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Inactive</t>
        </is>
      </c>
      <c r="J34" t="inlineStr"/>
      <c r="K34" t="inlineStr"/>
    </row>
    <row r="35">
      <c r="A35" t="inlineStr">
        <is>
          <t>Catleya</t>
        </is>
      </c>
      <c r="B35" t="inlineStr">
        <is>
          <t>Client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Inactive</t>
        </is>
      </c>
      <c r="J35" t="inlineStr"/>
      <c r="K35" t="inlineStr"/>
    </row>
    <row r="36">
      <c r="A36" t="inlineStr">
        <is>
          <t>Cheer Captain</t>
        </is>
      </c>
      <c r="B36" t="inlineStr">
        <is>
          <t>Client</t>
        </is>
      </c>
      <c r="C36" t="inlineStr"/>
      <c r="D36" t="inlineStr"/>
      <c r="E36" t="inlineStr"/>
      <c r="F36" t="inlineStr">
        <is>
          <t>Cheer Captain (Leedy)|Leedy</t>
        </is>
      </c>
      <c r="G36" t="inlineStr"/>
      <c r="H36" t="inlineStr"/>
      <c r="I36" t="inlineStr">
        <is>
          <t>Inactive</t>
        </is>
      </c>
      <c r="J36" t="inlineStr"/>
      <c r="K36" t="inlineStr"/>
    </row>
    <row r="37">
      <c r="A37" t="inlineStr">
        <is>
          <t>Eastin</t>
        </is>
      </c>
      <c r="B37" t="inlineStr">
        <is>
          <t>Client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Inactive</t>
        </is>
      </c>
      <c r="J37" t="inlineStr"/>
      <c r="K37" t="inlineStr"/>
    </row>
    <row r="38">
      <c r="A38" t="inlineStr">
        <is>
          <t>Gus</t>
        </is>
      </c>
      <c r="B38" t="inlineStr">
        <is>
          <t>Client</t>
        </is>
      </c>
      <c r="C38" t="inlineStr"/>
      <c r="D38" t="inlineStr"/>
      <c r="E38" t="inlineStr"/>
      <c r="F38" t="inlineStr">
        <is>
          <t>CHUN 1|gus (CHUN 1)</t>
        </is>
      </c>
      <c r="G38" t="inlineStr"/>
      <c r="H38" t="inlineStr"/>
      <c r="I38" t="inlineStr">
        <is>
          <t>Inactive</t>
        </is>
      </c>
      <c r="J38" t="inlineStr"/>
      <c r="K38" t="inlineStr"/>
    </row>
    <row r="39">
      <c r="A39" t="inlineStr">
        <is>
          <t>Hockey</t>
        </is>
      </c>
      <c r="B39" t="inlineStr">
        <is>
          <t>Client</t>
        </is>
      </c>
      <c r="C39" t="inlineStr">
        <is>
          <t>Elf</t>
        </is>
      </c>
      <c r="D39" t="inlineStr"/>
      <c r="E39" t="inlineStr"/>
      <c r="F39" t="inlineStr">
        <is>
          <t>Hockey-Elf</t>
        </is>
      </c>
      <c r="G39" t="inlineStr"/>
      <c r="H39" t="inlineStr"/>
      <c r="I39" t="inlineStr">
        <is>
          <t>Inactive</t>
        </is>
      </c>
      <c r="J39" t="inlineStr"/>
      <c r="K39" t="inlineStr"/>
    </row>
    <row r="40">
      <c r="A40" t="inlineStr">
        <is>
          <t>Jangbi</t>
        </is>
      </c>
      <c r="B40" t="inlineStr">
        <is>
          <t>Client</t>
        </is>
      </c>
      <c r="C40" t="inlineStr">
        <is>
          <t>Knight</t>
        </is>
      </c>
      <c r="D40" t="inlineStr"/>
      <c r="E40" t="inlineStr"/>
      <c r="F40" t="inlineStr">
        <is>
          <t>Jangbi-Knight</t>
        </is>
      </c>
      <c r="G40" t="inlineStr"/>
      <c r="H40" t="inlineStr"/>
      <c r="I40" t="inlineStr">
        <is>
          <t>Inactive</t>
        </is>
      </c>
      <c r="J40" t="inlineStr"/>
      <c r="K40" t="inlineStr"/>
    </row>
    <row r="41">
      <c r="A41" t="inlineStr">
        <is>
          <t>Jejo</t>
        </is>
      </c>
      <c r="B41" t="inlineStr">
        <is>
          <t>Client</t>
        </is>
      </c>
      <c r="C41" t="inlineStr">
        <is>
          <t>Knight</t>
        </is>
      </c>
      <c r="D41" t="inlineStr"/>
      <c r="E41" t="inlineStr"/>
      <c r="F41" t="inlineStr">
        <is>
          <t>Jejo-Knight</t>
        </is>
      </c>
      <c r="G41" t="inlineStr"/>
      <c r="H41" t="inlineStr"/>
      <c r="I41" t="inlineStr">
        <is>
          <t>Inactive</t>
        </is>
      </c>
      <c r="J41" t="inlineStr"/>
      <c r="K41" t="inlineStr"/>
    </row>
    <row r="42">
      <c r="A42" t="inlineStr">
        <is>
          <t>Ji-Hyun</t>
        </is>
      </c>
      <c r="B42" t="inlineStr">
        <is>
          <t>Client</t>
        </is>
      </c>
      <c r="C42" t="inlineStr">
        <is>
          <t>Elf</t>
        </is>
      </c>
      <c r="D42" t="inlineStr"/>
      <c r="E42" t="inlineStr"/>
      <c r="F42" t="inlineStr">
        <is>
          <t>Ji-Hyun-Elf|Jihyun</t>
        </is>
      </c>
      <c r="G42" t="inlineStr"/>
      <c r="H42" t="inlineStr"/>
      <c r="I42" t="inlineStr">
        <is>
          <t>Inactive</t>
        </is>
      </c>
      <c r="J42" t="inlineStr"/>
      <c r="K42" t="inlineStr"/>
    </row>
    <row r="43">
      <c r="A43" t="inlineStr">
        <is>
          <t>Kaisel</t>
        </is>
      </c>
      <c r="B43" t="inlineStr">
        <is>
          <t>Client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Inactive</t>
        </is>
      </c>
      <c r="J43" t="inlineStr"/>
      <c r="K43" t="inlineStr"/>
    </row>
    <row r="44">
      <c r="A44" t="inlineStr">
        <is>
          <t>League</t>
        </is>
      </c>
      <c r="B44" t="inlineStr">
        <is>
          <t>Client</t>
        </is>
      </c>
      <c r="C44" t="inlineStr">
        <is>
          <t>Knight</t>
        </is>
      </c>
      <c r="D44" t="inlineStr"/>
      <c r="E44" t="inlineStr"/>
      <c r="F44" t="inlineStr">
        <is>
          <t>League-Knight</t>
        </is>
      </c>
      <c r="G44" t="inlineStr"/>
      <c r="H44" t="inlineStr"/>
      <c r="I44" t="inlineStr">
        <is>
          <t>Inactive</t>
        </is>
      </c>
      <c r="J44" t="inlineStr"/>
      <c r="K44" t="inlineStr"/>
    </row>
    <row r="45">
      <c r="A45" t="inlineStr">
        <is>
          <t>Linclassicterry</t>
        </is>
      </c>
      <c r="B45" t="inlineStr">
        <is>
          <t>Client</t>
        </is>
      </c>
      <c r="C45" t="inlineStr"/>
      <c r="D45" t="inlineStr">
        <is>
          <t>로엔그린</t>
        </is>
      </c>
      <c r="E45" t="inlineStr">
        <is>
          <t>제육</t>
        </is>
      </c>
      <c r="F45" t="inlineStr"/>
      <c r="G45" t="inlineStr"/>
      <c r="H45" t="inlineStr"/>
      <c r="I45" t="inlineStr">
        <is>
          <t>Inactive</t>
        </is>
      </c>
      <c r="J45" t="inlineStr"/>
      <c r="K45" t="inlineStr"/>
    </row>
    <row r="46">
      <c r="A46" t="inlineStr">
        <is>
          <t>Mummy Lotto</t>
        </is>
      </c>
      <c r="B46" t="inlineStr">
        <is>
          <t>Client</t>
        </is>
      </c>
      <c r="C46" t="inlineStr">
        <is>
          <t>Elf</t>
        </is>
      </c>
      <c r="D46" t="inlineStr"/>
      <c r="E46" t="inlineStr"/>
      <c r="F46" t="inlineStr">
        <is>
          <t>Mummy Lotto(elf)</t>
        </is>
      </c>
      <c r="G46" t="inlineStr"/>
      <c r="H46" t="inlineStr"/>
      <c r="I46" t="inlineStr">
        <is>
          <t>Inactive</t>
        </is>
      </c>
      <c r="J46" t="inlineStr"/>
      <c r="K46" t="inlineStr"/>
    </row>
    <row r="47">
      <c r="A47" t="inlineStr">
        <is>
          <t>Rivaldo</t>
        </is>
      </c>
      <c r="B47" t="inlineStr">
        <is>
          <t>Client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Inactive</t>
        </is>
      </c>
      <c r="J47" t="inlineStr"/>
      <c r="K47" t="inlineStr"/>
    </row>
    <row r="48">
      <c r="A48" t="inlineStr">
        <is>
          <t>Sea</t>
        </is>
      </c>
      <c r="B48" t="inlineStr">
        <is>
          <t>Client</t>
        </is>
      </c>
      <c r="C48" t="inlineStr">
        <is>
          <t>Knight</t>
        </is>
      </c>
      <c r="D48" t="inlineStr"/>
      <c r="E48" t="inlineStr"/>
      <c r="F48" t="inlineStr">
        <is>
          <t>Sea-Knight</t>
        </is>
      </c>
      <c r="G48" t="inlineStr"/>
      <c r="H48" t="inlineStr"/>
      <c r="I48" t="inlineStr">
        <is>
          <t>Inactive</t>
        </is>
      </c>
      <c r="J48" t="inlineStr"/>
      <c r="K48" t="inlineStr"/>
    </row>
    <row r="49">
      <c r="A49" t="inlineStr">
        <is>
          <t>Summerner</t>
        </is>
      </c>
      <c r="B49" t="inlineStr">
        <is>
          <t>Client</t>
        </is>
      </c>
      <c r="C49" t="inlineStr">
        <is>
          <t>Wizard</t>
        </is>
      </c>
      <c r="D49" t="inlineStr"/>
      <c r="E49" t="inlineStr"/>
      <c r="F49" t="inlineStr">
        <is>
          <t>Summerner(Wizard)|Summoner</t>
        </is>
      </c>
      <c r="G49" t="inlineStr"/>
      <c r="H49" t="inlineStr"/>
      <c r="I49" t="inlineStr">
        <is>
          <t>Inactive</t>
        </is>
      </c>
      <c r="J49" t="inlineStr"/>
      <c r="K49" t="inlineStr"/>
    </row>
    <row r="50">
      <c r="A50" t="inlineStr">
        <is>
          <t>Town</t>
        </is>
      </c>
      <c r="B50" t="inlineStr">
        <is>
          <t>Client</t>
        </is>
      </c>
      <c r="C50" t="inlineStr">
        <is>
          <t>Knight</t>
        </is>
      </c>
      <c r="D50" t="inlineStr"/>
      <c r="E50" t="inlineStr"/>
      <c r="F50" t="inlineStr">
        <is>
          <t>Town-Knight</t>
        </is>
      </c>
      <c r="G50" t="inlineStr"/>
      <c r="H50" t="inlineStr"/>
      <c r="I50" t="inlineStr">
        <is>
          <t>Inactive</t>
        </is>
      </c>
      <c r="J50" t="inlineStr"/>
      <c r="K50" t="inlineStr"/>
    </row>
    <row r="51">
      <c r="A51" t="inlineStr">
        <is>
          <t>Wong</t>
        </is>
      </c>
      <c r="B51" t="inlineStr">
        <is>
          <t>Client</t>
        </is>
      </c>
      <c r="C51" t="inlineStr">
        <is>
          <t>Elf</t>
        </is>
      </c>
      <c r="D51" t="inlineStr">
        <is>
          <t>로엔그린</t>
        </is>
      </c>
      <c r="E51" t="inlineStr">
        <is>
          <t>웅여</t>
        </is>
      </c>
      <c r="F51" t="inlineStr">
        <is>
          <t>Wong - Elf|Wong-Elf</t>
        </is>
      </c>
      <c r="G51" t="inlineStr"/>
      <c r="H51" t="inlineStr"/>
      <c r="I51" t="inlineStr">
        <is>
          <t>Inactive</t>
        </is>
      </c>
      <c r="J51" t="inlineStr"/>
      <c r="K51" t="inlineStr"/>
    </row>
    <row r="52">
      <c r="A52" t="inlineStr">
        <is>
          <t>Kangaroo</t>
        </is>
      </c>
      <c r="B52" t="inlineStr">
        <is>
          <t>Farming</t>
        </is>
      </c>
      <c r="C52" t="inlineStr">
        <is>
          <t>Wizard</t>
        </is>
      </c>
      <c r="D52" t="inlineStr"/>
      <c r="E52" t="inlineStr"/>
      <c r="F52" t="inlineStr">
        <is>
          <t>Kangaroo (Wizard)</t>
        </is>
      </c>
      <c r="G52" t="inlineStr"/>
      <c r="H52" t="inlineStr"/>
      <c r="I52" t="inlineStr">
        <is>
          <t>Active</t>
        </is>
      </c>
      <c r="J52" t="inlineStr"/>
      <c r="K52" t="inlineStr"/>
    </row>
    <row r="53">
      <c r="A53" t="inlineStr">
        <is>
          <t>Kyoryu</t>
        </is>
      </c>
      <c r="B53" t="inlineStr">
        <is>
          <t>Farming</t>
        </is>
      </c>
      <c r="C53" t="inlineStr">
        <is>
          <t>Elf</t>
        </is>
      </c>
      <c r="D53" t="inlineStr">
        <is>
          <t>아툰</t>
        </is>
      </c>
      <c r="E53" t="inlineStr">
        <is>
          <t>교류</t>
        </is>
      </c>
      <c r="F53" t="inlineStr">
        <is>
          <t>Kyoryu (Elf)|Kyoryu(Elf)</t>
        </is>
      </c>
      <c r="G53" t="inlineStr"/>
      <c r="H53" t="inlineStr"/>
      <c r="I53" t="inlineStr">
        <is>
          <t>Active</t>
        </is>
      </c>
      <c r="J53" t="inlineStr"/>
      <c r="K53" t="inlineStr"/>
    </row>
    <row r="54">
      <c r="A54" t="inlineStr">
        <is>
          <t>Marcelo</t>
        </is>
      </c>
      <c r="B54" t="inlineStr">
        <is>
          <t>Farming</t>
        </is>
      </c>
      <c r="C54" t="inlineStr"/>
      <c r="D54" t="inlineStr"/>
      <c r="E54" t="inlineStr"/>
      <c r="F54" t="inlineStr">
        <is>
          <t>Marcelo (mania224 Lineage)|mania224</t>
        </is>
      </c>
      <c r="G54" t="inlineStr"/>
      <c r="H54" t="inlineStr"/>
      <c r="I54" t="inlineStr">
        <is>
          <t>Active</t>
        </is>
      </c>
      <c r="J54" t="inlineStr"/>
      <c r="K54" t="inlineStr"/>
    </row>
    <row r="55">
      <c r="A55" t="inlineStr">
        <is>
          <t>OldBlood</t>
        </is>
      </c>
      <c r="B55" t="inlineStr">
        <is>
          <t>Farming</t>
        </is>
      </c>
      <c r="C55" t="inlineStr">
        <is>
          <t>Wizard</t>
        </is>
      </c>
      <c r="D55" t="inlineStr"/>
      <c r="E55" t="inlineStr"/>
      <c r="F55" t="inlineStr">
        <is>
          <t>OldBlood (Wizard)</t>
        </is>
      </c>
      <c r="G55" t="inlineStr"/>
      <c r="H55" t="inlineStr"/>
      <c r="I55" t="inlineStr">
        <is>
          <t>Active</t>
        </is>
      </c>
      <c r="J55" t="inlineStr"/>
      <c r="K55" t="inlineStr"/>
    </row>
    <row r="56">
      <c r="A56" t="inlineStr">
        <is>
          <t>Pele</t>
        </is>
      </c>
      <c r="B56" t="inlineStr">
        <is>
          <t>Farming</t>
        </is>
      </c>
      <c r="C56" t="inlineStr"/>
      <c r="D56" t="inlineStr"/>
      <c r="E56" t="inlineStr"/>
      <c r="F56" t="inlineStr">
        <is>
          <t>Chaerin|Pele(Chaerin)</t>
        </is>
      </c>
      <c r="G56" t="inlineStr"/>
      <c r="H56" t="inlineStr"/>
      <c r="I56" t="inlineStr">
        <is>
          <t>Active</t>
        </is>
      </c>
      <c r="J56" t="inlineStr"/>
      <c r="K56" t="inlineStr"/>
    </row>
    <row r="57">
      <c r="A57" t="inlineStr">
        <is>
          <t>Ronaldo</t>
        </is>
      </c>
      <c r="B57" t="inlineStr">
        <is>
          <t>Farming</t>
        </is>
      </c>
      <c r="C57" t="inlineStr"/>
      <c r="D57" t="inlineStr">
        <is>
          <t>아툰</t>
        </is>
      </c>
      <c r="E57" t="inlineStr"/>
      <c r="F57" t="inlineStr"/>
      <c r="G57" t="inlineStr"/>
      <c r="H57" t="inlineStr"/>
      <c r="I57" t="inlineStr">
        <is>
          <t>Active</t>
        </is>
      </c>
      <c r="J57" t="inlineStr"/>
      <c r="K57" t="inlineStr"/>
    </row>
    <row r="58">
      <c r="A58" t="inlineStr">
        <is>
          <t>Sarim</t>
        </is>
      </c>
      <c r="B58" t="inlineStr">
        <is>
          <t>Farming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Active</t>
        </is>
      </c>
      <c r="J58" t="inlineStr"/>
      <c r="K58" t="inlineStr"/>
    </row>
    <row r="59">
      <c r="A59" t="inlineStr">
        <is>
          <t>Sinsang</t>
        </is>
      </c>
      <c r="B59" t="inlineStr">
        <is>
          <t>Farming</t>
        </is>
      </c>
      <c r="C59" t="inlineStr">
        <is>
          <t>Wizard</t>
        </is>
      </c>
      <c r="D59" t="inlineStr"/>
      <c r="E59" t="inlineStr"/>
      <c r="F59" t="inlineStr">
        <is>
          <t>Sinsang(Magician)</t>
        </is>
      </c>
      <c r="G59" t="inlineStr"/>
      <c r="H59" t="inlineStr"/>
      <c r="I59" t="inlineStr">
        <is>
          <t>Active</t>
        </is>
      </c>
      <c r="J59" t="inlineStr"/>
      <c r="K59" t="inlineStr"/>
    </row>
    <row r="60">
      <c r="A60" t="inlineStr">
        <is>
          <t>Sudden</t>
        </is>
      </c>
      <c r="B60" t="inlineStr">
        <is>
          <t>Farming</t>
        </is>
      </c>
      <c r="C60" t="inlineStr">
        <is>
          <t>Wizard</t>
        </is>
      </c>
      <c r="D60" t="inlineStr"/>
      <c r="E60" t="inlineStr"/>
      <c r="F60" t="inlineStr">
        <is>
          <t>Sudden (Wizard)|Sudden - FIREBAT (Wizard)</t>
        </is>
      </c>
      <c r="G60" t="inlineStr"/>
      <c r="H60" t="inlineStr"/>
      <c r="I60" t="inlineStr">
        <is>
          <t>Active</t>
        </is>
      </c>
      <c r="J60" t="inlineStr"/>
      <c r="K60" t="inlineStr"/>
    </row>
    <row r="61">
      <c r="A61" t="inlineStr">
        <is>
          <t>Sunsang</t>
        </is>
      </c>
      <c r="B61" t="inlineStr">
        <is>
          <t>Farming</t>
        </is>
      </c>
      <c r="C61" t="inlineStr">
        <is>
          <t>Wizard</t>
        </is>
      </c>
      <c r="D61" t="inlineStr"/>
      <c r="E61" t="inlineStr"/>
      <c r="F61" t="inlineStr">
        <is>
          <t>Sunsang (Wizard)</t>
        </is>
      </c>
      <c r="G61" t="inlineStr"/>
      <c r="H61" t="inlineStr"/>
      <c r="I61" t="inlineStr">
        <is>
          <t>Active</t>
        </is>
      </c>
      <c r="J61" t="inlineStr"/>
      <c r="K61" t="inlineStr"/>
    </row>
    <row r="62">
      <c r="A62" t="inlineStr">
        <is>
          <t>Taejo</t>
        </is>
      </c>
      <c r="B62" t="inlineStr">
        <is>
          <t>Farming</t>
        </is>
      </c>
      <c r="C62" t="inlineStr"/>
      <c r="D62" t="inlineStr"/>
      <c r="E62" t="inlineStr"/>
      <c r="F62" t="inlineStr">
        <is>
          <t>CHUN 2|taejo (CHUN 2)</t>
        </is>
      </c>
      <c r="G62" t="inlineStr"/>
      <c r="H62" t="inlineStr"/>
      <c r="I62" t="inlineStr">
        <is>
          <t>Active</t>
        </is>
      </c>
      <c r="J62" t="inlineStr"/>
      <c r="K62" t="inlineStr"/>
    </row>
    <row r="63">
      <c r="A63" t="inlineStr">
        <is>
          <t>Pung Acc</t>
        </is>
      </c>
      <c r="B63" t="inlineStr">
        <is>
          <t>Farming</t>
        </is>
      </c>
      <c r="C63" t="inlineStr">
        <is>
          <t>Elf</t>
        </is>
      </c>
      <c r="D63" t="inlineStr">
        <is>
          <t>로엔그린</t>
        </is>
      </c>
      <c r="E63" t="inlineStr">
        <is>
          <t>풍룡</t>
        </is>
      </c>
      <c r="F63" t="inlineStr">
        <is>
          <t>Pung|Pung Acc (elf)</t>
        </is>
      </c>
      <c r="G63" t="inlineStr"/>
      <c r="H63" t="inlineStr"/>
      <c r="I63" t="inlineStr">
        <is>
          <t>Inactive</t>
        </is>
      </c>
      <c r="J63" t="inlineStr"/>
      <c r="K63" t="inlineStr"/>
    </row>
    <row r="64">
      <c r="A64" t="inlineStr">
        <is>
          <t>Ronaldinho</t>
        </is>
      </c>
      <c r="B64" t="inlineStr">
        <is>
          <t>Farming</t>
        </is>
      </c>
      <c r="C64" t="inlineStr"/>
      <c r="D64" t="inlineStr"/>
      <c r="E64" t="inlineStr"/>
      <c r="F64" t="inlineStr">
        <is>
          <t>Mania224ss|Ronaldinho (Mania224ss Gmail)</t>
        </is>
      </c>
      <c r="G64" t="inlineStr"/>
      <c r="H64" t="inlineStr"/>
      <c r="I64" t="inlineStr">
        <is>
          <t>Inactive</t>
        </is>
      </c>
      <c r="J64" t="inlineStr"/>
      <c r="K64" t="inlineStr"/>
    </row>
  </sheetData>
  <autoFilter ref="A1:K64"/>
  <conditionalFormatting sqref="A2:K1000">
    <cfRule type="expression" priority="1" dxfId="3">
      <formula>$B2="Client"</formula>
    </cfRule>
    <cfRule type="expression" priority="2" dxfId="4">
      <formula>$B2="Farming"</formula>
    </cfRule>
  </conditionalFormatting>
  <dataValidations count="2">
    <dataValidation sqref="B2:B1000" showDropDown="0" showInputMessage="0" showErrorMessage="0" allowBlank="0" type="list">
      <formula1>"Client,Farming"</formula1>
    </dataValidation>
    <dataValidation sqref="I2:I1000" showDropDown="0" showInputMessage="0" showErrorMessage="0" allowBlank="0" type="list">
      <formula1>"Active,Paused,Inactive"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Term</t>
        </is>
      </c>
      <c r="B1" s="4" t="inlineStr">
        <is>
          <t>Variants</t>
        </is>
      </c>
      <c r="C1" s="4" t="inlineStr">
        <is>
          <t>KoreanFull</t>
        </is>
      </c>
      <c r="D1" s="4" t="inlineStr">
        <is>
          <t>English</t>
        </is>
      </c>
      <c r="E1" s="4" t="inlineStr">
        <is>
          <t>Category</t>
        </is>
      </c>
      <c r="F1" s="4" t="inlineStr">
        <is>
          <t>Verified</t>
        </is>
      </c>
    </row>
    <row r="2">
      <c r="A2" t="inlineStr">
        <is>
          <t>바람방</t>
        </is>
      </c>
      <c r="B2" t="inlineStr">
        <is>
          <t>바람 방|바람의방</t>
        </is>
      </c>
      <c r="C2" t="inlineStr">
        <is>
          <t>바람방</t>
        </is>
      </c>
      <c r="D2" t="inlineStr">
        <is>
          <t>Windroom</t>
        </is>
      </c>
      <c r="E2" t="inlineStr">
        <is>
          <t>hunting_ground</t>
        </is>
      </c>
      <c r="F2" t="inlineStr">
        <is>
          <t>Y</t>
        </is>
      </c>
    </row>
    <row r="3">
      <c r="A3" t="inlineStr">
        <is>
          <t>상아탑</t>
        </is>
      </c>
      <c r="B3" t="inlineStr">
        <is>
          <t>상탑|상아탑 N층</t>
        </is>
      </c>
      <c r="C3" t="inlineStr">
        <is>
          <t>상아탑</t>
        </is>
      </c>
      <c r="D3" t="inlineStr">
        <is>
          <t>Ivory Tower (floor N = N층)</t>
        </is>
      </c>
      <c r="E3" t="inlineStr">
        <is>
          <t>hunting_ground</t>
        </is>
      </c>
      <c r="F3" t="inlineStr">
        <is>
          <t>Y</t>
        </is>
      </c>
    </row>
    <row r="4">
      <c r="A4" t="inlineStr">
        <is>
          <t>버땅</t>
        </is>
      </c>
      <c r="B4" t="inlineStr">
        <is>
          <t>버림받은땅|버림받은 땅</t>
        </is>
      </c>
      <c r="C4" t="inlineStr">
        <is>
          <t>버림받은 땅</t>
        </is>
      </c>
      <c r="D4" t="inlineStr">
        <is>
          <t>Forsaken Land (버땅)</t>
        </is>
      </c>
      <c r="E4" t="inlineStr">
        <is>
          <t>hunting_ground</t>
        </is>
      </c>
      <c r="F4" t="inlineStr">
        <is>
          <t>N</t>
        </is>
      </c>
    </row>
    <row r="5">
      <c r="A5" t="inlineStr">
        <is>
          <t>버땅심연</t>
        </is>
      </c>
      <c r="B5" t="inlineStr">
        <is>
          <t>버땅 심연|심연</t>
        </is>
      </c>
      <c r="C5" t="inlineStr">
        <is>
          <t>버림받은 땅 심연</t>
        </is>
      </c>
      <c r="D5" t="inlineStr">
        <is>
          <t>Forsaken Land – Abyss</t>
        </is>
      </c>
      <c r="E5" t="inlineStr">
        <is>
          <t>hunting_ground</t>
        </is>
      </c>
      <c r="F5" t="inlineStr">
        <is>
          <t>N</t>
        </is>
      </c>
    </row>
    <row r="6">
      <c r="A6" t="inlineStr">
        <is>
          <t>잊섬</t>
        </is>
      </c>
      <c r="B6" t="inlineStr">
        <is>
          <t>잊혀진섬|잊혀진 섬</t>
        </is>
      </c>
      <c r="C6" t="inlineStr">
        <is>
          <t>잊혀진 섬</t>
        </is>
      </c>
      <c r="D6" t="inlineStr">
        <is>
          <t>Forgotten Island</t>
        </is>
      </c>
      <c r="E6" t="inlineStr">
        <is>
          <t>hunting_ground</t>
        </is>
      </c>
      <c r="F6" t="inlineStr">
        <is>
          <t>N</t>
        </is>
      </c>
    </row>
    <row r="7">
      <c r="A7" t="inlineStr">
        <is>
          <t>개미굴</t>
        </is>
      </c>
      <c r="B7" t="inlineStr">
        <is>
          <t>개미|ant</t>
        </is>
      </c>
      <c r="C7" t="inlineStr">
        <is>
          <t>개미굴</t>
        </is>
      </c>
      <c r="D7" t="inlineStr">
        <is>
          <t>Ant Cave (ant)</t>
        </is>
      </c>
      <c r="E7" t="inlineStr">
        <is>
          <t>hunting_ground</t>
        </is>
      </c>
      <c r="F7" t="inlineStr">
        <is>
          <t>N</t>
        </is>
      </c>
    </row>
    <row r="8">
      <c r="A8" t="inlineStr">
        <is>
          <t>몰이</t>
        </is>
      </c>
      <c r="B8" t="inlineStr">
        <is>
          <t>몰이사냥</t>
        </is>
      </c>
      <c r="C8" t="inlineStr">
        <is>
          <t>몰이 사냥</t>
        </is>
      </c>
      <c r="D8" t="inlineStr">
        <is>
          <t>mob luring / pulling</t>
        </is>
      </c>
      <c r="E8" t="inlineStr">
        <is>
          <t>action</t>
        </is>
      </c>
      <c r="F8" t="inlineStr">
        <is>
          <t>Y</t>
        </is>
      </c>
    </row>
    <row r="9">
      <c r="A9" t="inlineStr">
        <is>
          <t>고정</t>
        </is>
      </c>
      <c r="B9" t="inlineStr"/>
      <c r="C9" t="inlineStr">
        <is>
          <t>사냥터 고정</t>
        </is>
      </c>
      <c r="D9" t="inlineStr">
        <is>
          <t>stay fixed at (one hunting ground)</t>
        </is>
      </c>
      <c r="E9" t="inlineStr">
        <is>
          <t>action</t>
        </is>
      </c>
      <c r="F9" t="inlineStr">
        <is>
          <t>Y</t>
        </is>
      </c>
    </row>
    <row r="10">
      <c r="A10" t="inlineStr">
        <is>
          <t>왓다갓다</t>
        </is>
      </c>
      <c r="B10" t="inlineStr">
        <is>
          <t>왔다갔다|왔다 갔다|번갈아</t>
        </is>
      </c>
      <c r="C10" t="inlineStr">
        <is>
          <t>번갈아 이동</t>
        </is>
      </c>
      <c r="D10" t="inlineStr">
        <is>
          <t>alternate between</t>
        </is>
      </c>
      <c r="E10" t="inlineStr">
        <is>
          <t>action</t>
        </is>
      </c>
      <c r="F10" t="inlineStr">
        <is>
          <t>Y</t>
        </is>
      </c>
    </row>
    <row r="11">
      <c r="A11" t="inlineStr">
        <is>
          <t>두타임</t>
        </is>
      </c>
      <c r="B11" t="inlineStr">
        <is>
          <t>두 타임|2타임</t>
        </is>
      </c>
      <c r="C11" t="inlineStr">
        <is>
          <t>2개 시프트</t>
        </is>
      </c>
      <c r="D11" t="inlineStr">
        <is>
          <t>both shifts (2 shifts)</t>
        </is>
      </c>
      <c r="E11" t="inlineStr">
        <is>
          <t>schedule</t>
        </is>
      </c>
      <c r="F11" t="inlineStr">
        <is>
          <t>Y</t>
        </is>
      </c>
    </row>
    <row r="12">
      <c r="A12" t="inlineStr">
        <is>
          <t>한타임</t>
        </is>
      </c>
      <c r="B12" t="inlineStr">
        <is>
          <t>한 타임|1타임</t>
        </is>
      </c>
      <c r="C12" t="inlineStr">
        <is>
          <t>1개 시프트</t>
        </is>
      </c>
      <c r="D12" t="inlineStr">
        <is>
          <t>one shift</t>
        </is>
      </c>
      <c r="E12" t="inlineStr">
        <is>
          <t>schedule</t>
        </is>
      </c>
      <c r="F12" t="inlineStr">
        <is>
          <t>Y</t>
        </is>
      </c>
    </row>
    <row r="13">
      <c r="A13" t="inlineStr">
        <is>
          <t>점검</t>
        </is>
      </c>
      <c r="B13" t="inlineStr">
        <is>
          <t>서버점검</t>
        </is>
      </c>
      <c r="C13" t="inlineStr">
        <is>
          <t>서버 점검</t>
        </is>
      </c>
      <c r="D13" t="inlineStr">
        <is>
          <t>server maintenance</t>
        </is>
      </c>
      <c r="E13" t="inlineStr">
        <is>
          <t>schedule</t>
        </is>
      </c>
      <c r="F13" t="inlineStr">
        <is>
          <t>Y</t>
        </is>
      </c>
    </row>
    <row r="14">
      <c r="A14" t="inlineStr">
        <is>
          <t>삭제</t>
        </is>
      </c>
      <c r="B14" t="inlineStr">
        <is>
          <t>취소</t>
        </is>
      </c>
      <c r="C14" t="inlineStr">
        <is>
          <t>시프트 삭제</t>
        </is>
      </c>
      <c r="D14" t="inlineStr">
        <is>
          <t>cancel / remove shift</t>
        </is>
      </c>
      <c r="E14" t="inlineStr">
        <is>
          <t>schedule</t>
        </is>
      </c>
      <c r="F14" t="inlineStr">
        <is>
          <t>Y</t>
        </is>
      </c>
    </row>
    <row r="15">
      <c r="A15" t="inlineStr">
        <is>
          <t>추가</t>
        </is>
      </c>
      <c r="B15" t="inlineStr"/>
      <c r="C15" t="inlineStr">
        <is>
          <t>시프트 추가</t>
        </is>
      </c>
      <c r="D15" t="inlineStr">
        <is>
          <t>add extra shift</t>
        </is>
      </c>
      <c r="E15" t="inlineStr">
        <is>
          <t>schedule</t>
        </is>
      </c>
      <c r="F15" t="inlineStr">
        <is>
          <t>Y</t>
        </is>
      </c>
    </row>
    <row r="16">
      <c r="A16" t="inlineStr">
        <is>
          <t>경치</t>
        </is>
      </c>
      <c r="B16" t="inlineStr">
        <is>
          <t>경험치|경험</t>
        </is>
      </c>
      <c r="C16" t="inlineStr">
        <is>
          <t>경험치</t>
        </is>
      </c>
      <c r="D16" t="inlineStr">
        <is>
          <t>EXP</t>
        </is>
      </c>
      <c r="E16" t="inlineStr">
        <is>
          <t>stat</t>
        </is>
      </c>
      <c r="F16" t="inlineStr">
        <is>
          <t>Y</t>
        </is>
      </c>
    </row>
    <row r="17">
      <c r="A17" t="inlineStr">
        <is>
          <t>카오</t>
        </is>
      </c>
      <c r="B17" t="inlineStr">
        <is>
          <t>카오틱</t>
        </is>
      </c>
      <c r="C17" t="inlineStr">
        <is>
          <t>카오틱 상태</t>
        </is>
      </c>
      <c r="D17" t="inlineStr">
        <is>
          <t>chaotic (PK) status</t>
        </is>
      </c>
      <c r="E17" t="inlineStr">
        <is>
          <t>status</t>
        </is>
      </c>
      <c r="F17" t="inlineStr">
        <is>
          <t>Y</t>
        </is>
      </c>
    </row>
    <row r="18">
      <c r="A18" t="inlineStr">
        <is>
          <t>껐습니다</t>
        </is>
      </c>
      <c r="B18" t="inlineStr">
        <is>
          <t>껐어요|종료|나왔어요|미리 나왔어요|접종</t>
        </is>
      </c>
      <c r="C18" t="inlineStr">
        <is>
          <t>접속 종료</t>
        </is>
      </c>
      <c r="D18" t="inlineStr">
        <is>
          <t>logged out (character is free to log in)</t>
        </is>
      </c>
      <c r="E18" t="inlineStr">
        <is>
          <t>status</t>
        </is>
      </c>
      <c r="F18" t="inlineStr">
        <is>
          <t>Y</t>
        </is>
      </c>
    </row>
    <row r="19">
      <c r="A19" t="inlineStr">
        <is>
          <t>밀어냈어</t>
        </is>
      </c>
      <c r="B19" t="inlineStr">
        <is>
          <t>밀렸어|튕김|튕겼어</t>
        </is>
      </c>
      <c r="C19" t="inlineStr">
        <is>
          <t>접속 끊김</t>
        </is>
      </c>
      <c r="D19" t="inlineStr">
        <is>
          <t>got kicked / disconnected</t>
        </is>
      </c>
      <c r="E19" t="inlineStr">
        <is>
          <t>status</t>
        </is>
      </c>
      <c r="F19" t="inlineStr">
        <is>
          <t>Y</t>
        </is>
      </c>
    </row>
    <row r="20">
      <c r="A20" t="inlineStr">
        <is>
          <t>재접</t>
        </is>
      </c>
      <c r="B20" t="inlineStr">
        <is>
          <t>재로그인|다시 로그인</t>
        </is>
      </c>
      <c r="C20" t="inlineStr">
        <is>
          <t>다시 로그인</t>
        </is>
      </c>
      <c r="D20" t="inlineStr">
        <is>
          <t>re-login</t>
        </is>
      </c>
      <c r="E20" t="inlineStr">
        <is>
          <t>action</t>
        </is>
      </c>
      <c r="F20" t="inlineStr">
        <is>
          <t>Y</t>
        </is>
      </c>
    </row>
    <row r="21">
      <c r="A21" t="inlineStr">
        <is>
          <t>혈원</t>
        </is>
      </c>
      <c r="B21" t="inlineStr">
        <is>
          <t>혈맹원</t>
        </is>
      </c>
      <c r="C21" t="inlineStr">
        <is>
          <t>혈맹원</t>
        </is>
      </c>
      <c r="D21" t="inlineStr">
        <is>
          <t>clan member</t>
        </is>
      </c>
      <c r="E21" t="inlineStr">
        <is>
          <t>people</t>
        </is>
      </c>
      <c r="F21" t="inlineStr">
        <is>
          <t>Y</t>
        </is>
      </c>
    </row>
    <row r="22">
      <c r="A22" t="inlineStr">
        <is>
          <t>육성</t>
        </is>
      </c>
      <c r="B22" t="inlineStr">
        <is>
          <t>육성친구|대리</t>
        </is>
      </c>
      <c r="C22" t="inlineStr">
        <is>
          <t>대리 육성 담당자</t>
        </is>
      </c>
      <c r="D22" t="inlineStr">
        <is>
          <t>booster / leveling trainer</t>
        </is>
      </c>
      <c r="E22" t="inlineStr">
        <is>
          <t>people</t>
        </is>
      </c>
      <c r="F22" t="inlineStr">
        <is>
          <t>Y</t>
        </is>
      </c>
    </row>
    <row r="23">
      <c r="A23" t="inlineStr">
        <is>
          <t>군주</t>
        </is>
      </c>
      <c r="B23" t="inlineStr">
        <is>
          <t>프린스</t>
        </is>
      </c>
      <c r="C23" t="inlineStr">
        <is>
          <t>군주</t>
        </is>
      </c>
      <c r="D23" t="inlineStr">
        <is>
          <t>Prince (class)</t>
        </is>
      </c>
      <c r="E23" t="inlineStr">
        <is>
          <t>class</t>
        </is>
      </c>
      <c r="F23" t="inlineStr">
        <is>
          <t>Y</t>
        </is>
      </c>
    </row>
    <row r="24">
      <c r="A24" t="inlineStr">
        <is>
          <t>데나</t>
        </is>
      </c>
      <c r="B24" t="inlineStr">
        <is>
          <t>데스나이트|드가</t>
        </is>
      </c>
      <c r="C24" t="inlineStr">
        <is>
          <t>데스나이트</t>
        </is>
      </c>
      <c r="D24" t="inlineStr">
        <is>
          <t>Death Knight (class)</t>
        </is>
      </c>
      <c r="E24" t="inlineStr">
        <is>
          <t>class</t>
        </is>
      </c>
      <c r="F24" t="inlineStr">
        <is>
          <t>Y</t>
        </is>
      </c>
    </row>
    <row r="25">
      <c r="A25" t="inlineStr">
        <is>
          <t>기사</t>
        </is>
      </c>
      <c r="B25" t="inlineStr">
        <is>
          <t>나이트</t>
        </is>
      </c>
      <c r="C25" t="inlineStr">
        <is>
          <t>기사</t>
        </is>
      </c>
      <c r="D25" t="inlineStr">
        <is>
          <t>Knight (class)</t>
        </is>
      </c>
      <c r="E25" t="inlineStr">
        <is>
          <t>class</t>
        </is>
      </c>
      <c r="F25" t="inlineStr">
        <is>
          <t>Y</t>
        </is>
      </c>
    </row>
    <row r="26">
      <c r="A26" t="inlineStr">
        <is>
          <t>요정</t>
        </is>
      </c>
      <c r="B26" t="inlineStr">
        <is>
          <t>엘프</t>
        </is>
      </c>
      <c r="C26" t="inlineStr">
        <is>
          <t>요정</t>
        </is>
      </c>
      <c r="D26" t="inlineStr">
        <is>
          <t>Elf (class)</t>
        </is>
      </c>
      <c r="E26" t="inlineStr">
        <is>
          <t>class</t>
        </is>
      </c>
      <c r="F26" t="inlineStr">
        <is>
          <t>Y</t>
        </is>
      </c>
    </row>
    <row r="27">
      <c r="A27" t="inlineStr">
        <is>
          <t>법사</t>
        </is>
      </c>
      <c r="B27" t="inlineStr">
        <is>
          <t>마법사|위자드</t>
        </is>
      </c>
      <c r="C27" t="inlineStr">
        <is>
          <t>마법사</t>
        </is>
      </c>
      <c r="D27" t="inlineStr">
        <is>
          <t>Wizard (class)</t>
        </is>
      </c>
      <c r="E27" t="inlineStr">
        <is>
          <t>class</t>
        </is>
      </c>
      <c r="F27" t="inlineStr">
        <is>
          <t>Y</t>
        </is>
      </c>
    </row>
    <row r="28">
      <c r="A28" t="inlineStr">
        <is>
          <t>GY</t>
        </is>
      </c>
      <c r="B28" t="inlineStr">
        <is>
          <t>그야|그레이브야드|새벽</t>
        </is>
      </c>
      <c r="C28" t="inlineStr">
        <is>
          <t>24:00-08:00 시프트</t>
        </is>
      </c>
      <c r="D28" t="inlineStr">
        <is>
          <t>graveyard shift (24:00-08:00)</t>
        </is>
      </c>
      <c r="E28" t="inlineStr">
        <is>
          <t>schedule</t>
        </is>
      </c>
      <c r="F28" t="inlineStr">
        <is>
          <t>Y</t>
        </is>
      </c>
    </row>
    <row r="29">
      <c r="A29" t="inlineStr">
        <is>
          <t>지피방</t>
        </is>
      </c>
      <c r="B29" t="inlineStr"/>
      <c r="C29" t="inlineStr">
        <is>
          <t>(확인 필요)</t>
        </is>
      </c>
      <c r="D29" t="inlineStr">
        <is>
          <t>(unknown — verify)</t>
        </is>
      </c>
      <c r="E29" t="inlineStr">
        <is>
          <t>unknown</t>
        </is>
      </c>
      <c r="F29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Type</t>
        </is>
      </c>
      <c r="C1" s="4" t="inlineStr">
        <is>
          <t>Character</t>
        </is>
      </c>
      <c r="D1" s="4" t="inlineStr">
        <is>
          <t>Summary</t>
        </is>
      </c>
      <c r="E1" s="4" t="inlineStr">
        <is>
          <t>Status</t>
        </is>
      </c>
      <c r="F1" s="4" t="inlineStr">
        <is>
          <t>Answer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6" customWidth="1" min="3" max="3"/>
    <col width="14" customWidth="1" min="4" max="4"/>
    <col width="11" customWidth="1" min="5" max="5"/>
    <col width="24" customWidth="1" min="6" max="6"/>
    <col width="11" customWidth="1" min="7" max="7"/>
    <col width="26" customWidth="1" min="8" max="8"/>
    <col width="24" customWidth="1" min="9" max="9"/>
    <col width="7" customWidth="1" min="10" max="10"/>
  </cols>
  <sheetData>
    <row r="1">
      <c r="A1" s="4" t="inlineStr">
        <is>
          <t>Date</t>
        </is>
      </c>
      <c r="B1" s="4" t="inlineStr">
        <is>
          <t>Day</t>
        </is>
      </c>
      <c r="C1" s="4" t="inlineStr">
        <is>
          <t>Leader</t>
        </is>
      </c>
      <c r="D1" s="4" t="inlineStr">
        <is>
          <t>Shift</t>
        </is>
      </c>
      <c r="E1" s="4" t="inlineStr">
        <is>
          <t>Attendance</t>
        </is>
      </c>
      <c r="F1" s="4" t="inlineStr">
        <is>
          <t>Note</t>
        </is>
      </c>
      <c r="G1" s="11" t="inlineStr">
        <is>
          <t>Week</t>
        </is>
      </c>
      <c r="H1" s="11" t="inlineStr">
        <is>
          <t>Key</t>
        </is>
      </c>
      <c r="I1" s="11" t="inlineStr">
        <is>
          <t>Display</t>
        </is>
      </c>
      <c r="J1" s="11" t="inlineStr">
        <is>
          <t>Hours</t>
        </is>
      </c>
      <c r="K1" s="11" t="inlineStr">
        <is>
          <t>Pay Week</t>
        </is>
      </c>
    </row>
    <row r="2">
      <c r="A2" t="inlineStr">
        <is>
          <t>2026-04-12</t>
        </is>
      </c>
      <c r="B2" t="inlineStr">
        <is>
          <t>Sun</t>
        </is>
      </c>
      <c r="C2" t="inlineStr">
        <is>
          <t>ATL Jezryl</t>
        </is>
      </c>
      <c r="D2" t="inlineStr">
        <is>
          <t>OFF</t>
        </is>
      </c>
      <c r="G2">
        <f>ARRAYFORMULA(IF(A2:A50000="",,TEXT(IF(ISNUMBER(A2:A50000),A2:A50000,IFERROR(DATEVALUE(A2:A50000)))-WEEKDAY(IF(ISNUMBER(A2:A50000),A2:A50000,IFERROR(DATEVALUE(A2:A50000))))+1,"yyyy-mm-dd")))</f>
        <v/>
      </c>
      <c r="H2">
        <f>ARRAYFORMULA(IF(A2:A50000="",,TEXT(IF(ISNUMBER(A2:A50000),A2:A50000,IFERROR(DATEVALUE(A2:A50000))),"yyyy-mm-dd")&amp;"|"&amp;C2:C50000))</f>
        <v/>
      </c>
      <c r="I2">
        <f>ARRAYFORMULA(IF(A2:A50000="",,D2:D50000&amp;IF(E2:E50000="","",CHAR(10)&amp;E2:E50000)))</f>
        <v/>
      </c>
      <c r="J2">
        <f>ARRAYFORMULA(IF(A2:A50000="",,IF((REGEXMATCH(D2:D50000,"^\s*\d{1,2}(:\d\d)?\s*[aApP][mM]\s*-\s*\d{1,2}(:\d\d)?\s*[aApP][mM]")=FALSE)+(LOWER(E2:E50000)="absent"),0,IFERROR(MOD((MOD(VALUE(REGEXEXTRACT(D2:D50000,"-\s*(\d{1,2})")),12)+12*REGEXMATCH(D2:D50000,"-\s*\d{1,2}(:\d\d)?\s*[pP][mM]"))-(MOD(VALUE(REGEXEXTRACT(D2:D50000,"^\s*(\d{1,2})")),12)+12*REGEXMATCH(D2:D50000,"^\s*\d{1,2}(:\d\d)?\s*[pP][mM]")),24),0))))</f>
        <v/>
      </c>
      <c r="K2">
        <f>ARRAYFORMULA(IF(A2:A50000="",,TEXT(IF(ISNUMBER(A2:A50000),A2:A50000,IFERROR(DATEVALUE(A2:A50000)))-WEEKDAY(IF(ISNUMBER(A2:A50000),A2:A50000,IFERROR(DATEVALUE(A2:A50000))),3),"yyyy-mm-dd")))</f>
        <v/>
      </c>
    </row>
    <row r="3">
      <c r="A3" t="inlineStr">
        <is>
          <t>2026-04-12</t>
        </is>
      </c>
      <c r="B3" t="inlineStr">
        <is>
          <t>Sun</t>
        </is>
      </c>
      <c r="C3" t="inlineStr">
        <is>
          <t>ATL Richard</t>
        </is>
      </c>
      <c r="D3" t="inlineStr">
        <is>
          <t>OFF</t>
        </is>
      </c>
    </row>
    <row r="4">
      <c r="A4" t="inlineStr">
        <is>
          <t>2026-04-12</t>
        </is>
      </c>
      <c r="B4" t="inlineStr">
        <is>
          <t>Sun</t>
        </is>
      </c>
      <c r="C4" t="inlineStr">
        <is>
          <t>Alyssa</t>
        </is>
      </c>
      <c r="D4" t="inlineStr">
        <is>
          <t>Cancelled Off</t>
        </is>
      </c>
      <c r="E4" t="inlineStr">
        <is>
          <t>Present</t>
        </is>
      </c>
    </row>
    <row r="5">
      <c r="A5" t="inlineStr">
        <is>
          <t>2026-04-12</t>
        </is>
      </c>
      <c r="B5" t="inlineStr">
        <is>
          <t>Sun</t>
        </is>
      </c>
      <c r="C5" t="inlineStr">
        <is>
          <t>Harley</t>
        </is>
      </c>
      <c r="D5" t="inlineStr">
        <is>
          <t>12am-8am</t>
        </is>
      </c>
      <c r="E5" t="inlineStr">
        <is>
          <t>Present</t>
        </is>
      </c>
    </row>
    <row r="6">
      <c r="A6" t="inlineStr">
        <is>
          <t>2026-04-12</t>
        </is>
      </c>
      <c r="B6" t="inlineStr">
        <is>
          <t>Sun</t>
        </is>
      </c>
      <c r="C6" t="inlineStr">
        <is>
          <t>Patrick</t>
        </is>
      </c>
      <c r="D6" t="inlineStr">
        <is>
          <t>8am-4pm</t>
        </is>
      </c>
      <c r="E6" t="inlineStr">
        <is>
          <t>Present</t>
        </is>
      </c>
    </row>
    <row r="7">
      <c r="A7" t="inlineStr">
        <is>
          <t>2026-04-13</t>
        </is>
      </c>
      <c r="B7" t="inlineStr">
        <is>
          <t>Mon</t>
        </is>
      </c>
      <c r="C7" t="inlineStr">
        <is>
          <t>ATL Jezryl</t>
        </is>
      </c>
      <c r="D7" t="inlineStr">
        <is>
          <t>OFF</t>
        </is>
      </c>
    </row>
    <row r="8">
      <c r="A8" t="inlineStr">
        <is>
          <t>2026-04-13</t>
        </is>
      </c>
      <c r="B8" t="inlineStr">
        <is>
          <t>Mon</t>
        </is>
      </c>
      <c r="C8" t="inlineStr">
        <is>
          <t>ATL Richard</t>
        </is>
      </c>
      <c r="D8" t="inlineStr">
        <is>
          <t>OFF</t>
        </is>
      </c>
    </row>
    <row r="9">
      <c r="A9" t="inlineStr">
        <is>
          <t>2026-04-13</t>
        </is>
      </c>
      <c r="B9" t="inlineStr">
        <is>
          <t>Mon</t>
        </is>
      </c>
      <c r="C9" t="inlineStr">
        <is>
          <t>Alyssa</t>
        </is>
      </c>
      <c r="D9" t="inlineStr">
        <is>
          <t>4pm-12am</t>
        </is>
      </c>
      <c r="E9" t="inlineStr">
        <is>
          <t>Present</t>
        </is>
      </c>
    </row>
    <row r="10">
      <c r="A10" t="inlineStr">
        <is>
          <t>2026-04-13</t>
        </is>
      </c>
      <c r="B10" t="inlineStr">
        <is>
          <t>Mon</t>
        </is>
      </c>
      <c r="C10" t="inlineStr">
        <is>
          <t>Harley</t>
        </is>
      </c>
      <c r="D10" t="inlineStr">
        <is>
          <t>12am-8am</t>
        </is>
      </c>
      <c r="E10" t="inlineStr">
        <is>
          <t>Present</t>
        </is>
      </c>
    </row>
    <row r="11">
      <c r="A11" t="inlineStr">
        <is>
          <t>2026-04-13</t>
        </is>
      </c>
      <c r="B11" t="inlineStr">
        <is>
          <t>Mon</t>
        </is>
      </c>
      <c r="C11" t="inlineStr">
        <is>
          <t>Patrick</t>
        </is>
      </c>
      <c r="D11" t="inlineStr">
        <is>
          <t>8am-4pm</t>
        </is>
      </c>
      <c r="E11" t="inlineStr">
        <is>
          <t>Present</t>
        </is>
      </c>
    </row>
    <row r="12">
      <c r="A12" t="inlineStr">
        <is>
          <t>2026-04-14</t>
        </is>
      </c>
      <c r="B12" t="inlineStr">
        <is>
          <t>Tue</t>
        </is>
      </c>
      <c r="C12" t="inlineStr">
        <is>
          <t>ATL Jezryl</t>
        </is>
      </c>
      <c r="D12" t="inlineStr">
        <is>
          <t>8am-4pm</t>
        </is>
      </c>
      <c r="E12" t="inlineStr">
        <is>
          <t>Present</t>
        </is>
      </c>
    </row>
    <row r="13">
      <c r="A13" t="inlineStr">
        <is>
          <t>2026-04-14</t>
        </is>
      </c>
      <c r="B13" t="inlineStr">
        <is>
          <t>Tue</t>
        </is>
      </c>
      <c r="C13" t="inlineStr">
        <is>
          <t>ATL Richard</t>
        </is>
      </c>
      <c r="D13" t="inlineStr">
        <is>
          <t>12am-8am</t>
        </is>
      </c>
      <c r="E13" t="inlineStr">
        <is>
          <t>Present</t>
        </is>
      </c>
    </row>
    <row r="14">
      <c r="A14" t="inlineStr">
        <is>
          <t>2026-04-14</t>
        </is>
      </c>
      <c r="B14" t="inlineStr">
        <is>
          <t>Tue</t>
        </is>
      </c>
      <c r="C14" t="inlineStr">
        <is>
          <t>Alyssa</t>
        </is>
      </c>
      <c r="D14" t="inlineStr">
        <is>
          <t>4pm-12am</t>
        </is>
      </c>
      <c r="E14" t="inlineStr">
        <is>
          <t>Present</t>
        </is>
      </c>
    </row>
    <row r="15">
      <c r="A15" t="inlineStr">
        <is>
          <t>2026-04-14</t>
        </is>
      </c>
      <c r="B15" t="inlineStr">
        <is>
          <t>Tue</t>
        </is>
      </c>
      <c r="C15" t="inlineStr">
        <is>
          <t>Harley</t>
        </is>
      </c>
      <c r="D15" t="inlineStr">
        <is>
          <t>10pm-4am</t>
        </is>
      </c>
      <c r="E15" t="inlineStr">
        <is>
          <t>Present</t>
        </is>
      </c>
    </row>
    <row r="16">
      <c r="A16" t="inlineStr">
        <is>
          <t>2026-04-14</t>
        </is>
      </c>
      <c r="B16" t="inlineStr">
        <is>
          <t>Tue</t>
        </is>
      </c>
      <c r="C16" t="inlineStr">
        <is>
          <t>Patrick</t>
        </is>
      </c>
      <c r="D16" t="inlineStr">
        <is>
          <t>8am-4pm</t>
        </is>
      </c>
      <c r="E16" t="inlineStr">
        <is>
          <t>Present</t>
        </is>
      </c>
    </row>
    <row r="17">
      <c r="A17" t="inlineStr">
        <is>
          <t>2026-04-15</t>
        </is>
      </c>
      <c r="B17" t="inlineStr">
        <is>
          <t>Wed</t>
        </is>
      </c>
      <c r="C17" t="inlineStr">
        <is>
          <t>ATL Jezryl</t>
        </is>
      </c>
      <c r="D17" t="inlineStr">
        <is>
          <t>8am-4pm</t>
        </is>
      </c>
      <c r="E17" t="inlineStr">
        <is>
          <t>Present</t>
        </is>
      </c>
    </row>
    <row r="18">
      <c r="A18" t="inlineStr">
        <is>
          <t>2026-04-15</t>
        </is>
      </c>
      <c r="B18" t="inlineStr">
        <is>
          <t>Wed</t>
        </is>
      </c>
      <c r="C18" t="inlineStr">
        <is>
          <t>ATL Richard</t>
        </is>
      </c>
      <c r="D18" t="inlineStr">
        <is>
          <t>12am-8am</t>
        </is>
      </c>
      <c r="E18" t="inlineStr">
        <is>
          <t>Present</t>
        </is>
      </c>
    </row>
    <row r="19">
      <c r="A19" t="inlineStr">
        <is>
          <t>2026-04-15</t>
        </is>
      </c>
      <c r="B19" t="inlineStr">
        <is>
          <t>Wed</t>
        </is>
      </c>
      <c r="C19" t="inlineStr">
        <is>
          <t>Alyssa</t>
        </is>
      </c>
      <c r="D19" t="inlineStr">
        <is>
          <t>OFF</t>
        </is>
      </c>
    </row>
    <row r="20">
      <c r="A20" t="inlineStr">
        <is>
          <t>2026-04-15</t>
        </is>
      </c>
      <c r="B20" t="inlineStr">
        <is>
          <t>Wed</t>
        </is>
      </c>
      <c r="C20" t="inlineStr">
        <is>
          <t>Harley</t>
        </is>
      </c>
      <c r="D20" t="inlineStr">
        <is>
          <t>OFF</t>
        </is>
      </c>
    </row>
    <row r="21">
      <c r="A21" t="inlineStr">
        <is>
          <t>2026-04-15</t>
        </is>
      </c>
      <c r="B21" t="inlineStr">
        <is>
          <t>Wed</t>
        </is>
      </c>
      <c r="C21" t="inlineStr">
        <is>
          <t>Patrick</t>
        </is>
      </c>
      <c r="D21" t="inlineStr">
        <is>
          <t>8am-4pm</t>
        </is>
      </c>
      <c r="E21" t="inlineStr">
        <is>
          <t>Present</t>
        </is>
      </c>
    </row>
    <row r="22">
      <c r="A22" t="inlineStr">
        <is>
          <t>2026-04-16</t>
        </is>
      </c>
      <c r="B22" t="inlineStr">
        <is>
          <t>Thu</t>
        </is>
      </c>
      <c r="C22" t="inlineStr">
        <is>
          <t>ATL Jezryl</t>
        </is>
      </c>
      <c r="D22" t="inlineStr">
        <is>
          <t>8am-4pm</t>
        </is>
      </c>
      <c r="E22" t="inlineStr">
        <is>
          <t>Present</t>
        </is>
      </c>
    </row>
    <row r="23">
      <c r="A23" t="inlineStr">
        <is>
          <t>2026-04-16</t>
        </is>
      </c>
      <c r="B23" t="inlineStr">
        <is>
          <t>Thu</t>
        </is>
      </c>
      <c r="C23" t="inlineStr">
        <is>
          <t>ATL Richard</t>
        </is>
      </c>
      <c r="D23" t="inlineStr">
        <is>
          <t>12am-8am</t>
        </is>
      </c>
      <c r="E23" t="inlineStr">
        <is>
          <t>Present</t>
        </is>
      </c>
    </row>
    <row r="24">
      <c r="A24" t="inlineStr">
        <is>
          <t>2026-04-16</t>
        </is>
      </c>
      <c r="B24" t="inlineStr">
        <is>
          <t>Thu</t>
        </is>
      </c>
      <c r="C24" t="inlineStr">
        <is>
          <t>Alyssa</t>
        </is>
      </c>
      <c r="D24" t="inlineStr">
        <is>
          <t>4pm-12am</t>
        </is>
      </c>
      <c r="E24" t="inlineStr">
        <is>
          <t>Present</t>
        </is>
      </c>
    </row>
    <row r="25">
      <c r="A25" t="inlineStr">
        <is>
          <t>2026-04-16</t>
        </is>
      </c>
      <c r="B25" t="inlineStr">
        <is>
          <t>Thu</t>
        </is>
      </c>
      <c r="C25" t="inlineStr">
        <is>
          <t>Harley</t>
        </is>
      </c>
      <c r="D25" t="inlineStr">
        <is>
          <t>12am-8am</t>
        </is>
      </c>
      <c r="E25" t="inlineStr">
        <is>
          <t>Present</t>
        </is>
      </c>
    </row>
    <row r="26">
      <c r="A26" t="inlineStr">
        <is>
          <t>2026-04-16</t>
        </is>
      </c>
      <c r="B26" t="inlineStr">
        <is>
          <t>Thu</t>
        </is>
      </c>
      <c r="C26" t="inlineStr">
        <is>
          <t>Patrick</t>
        </is>
      </c>
      <c r="D26" t="inlineStr">
        <is>
          <t>OFF</t>
        </is>
      </c>
    </row>
    <row r="27">
      <c r="A27" t="inlineStr">
        <is>
          <t>2026-04-17</t>
        </is>
      </c>
      <c r="B27" t="inlineStr">
        <is>
          <t>Fri</t>
        </is>
      </c>
      <c r="C27" t="inlineStr">
        <is>
          <t>ATL Jezryl</t>
        </is>
      </c>
      <c r="D27" t="inlineStr">
        <is>
          <t>8am-4pm</t>
        </is>
      </c>
      <c r="E27" t="inlineStr">
        <is>
          <t>Present</t>
        </is>
      </c>
    </row>
    <row r="28">
      <c r="A28" t="inlineStr">
        <is>
          <t>2026-04-17</t>
        </is>
      </c>
      <c r="B28" t="inlineStr">
        <is>
          <t>Fri</t>
        </is>
      </c>
      <c r="C28" t="inlineStr">
        <is>
          <t>ATL Richard</t>
        </is>
      </c>
      <c r="D28" t="inlineStr">
        <is>
          <t>12am-8am</t>
        </is>
      </c>
      <c r="E28" t="inlineStr">
        <is>
          <t>Present</t>
        </is>
      </c>
    </row>
    <row r="29">
      <c r="A29" t="inlineStr">
        <is>
          <t>2026-04-17</t>
        </is>
      </c>
      <c r="B29" t="inlineStr">
        <is>
          <t>Fri</t>
        </is>
      </c>
      <c r="C29" t="inlineStr">
        <is>
          <t>Alyssa</t>
        </is>
      </c>
      <c r="D29" t="inlineStr">
        <is>
          <t>4pm-12am</t>
        </is>
      </c>
      <c r="E29" t="inlineStr">
        <is>
          <t>Present</t>
        </is>
      </c>
    </row>
    <row r="30">
      <c r="A30" t="inlineStr">
        <is>
          <t>2026-04-17</t>
        </is>
      </c>
      <c r="B30" t="inlineStr">
        <is>
          <t>Fri</t>
        </is>
      </c>
      <c r="C30" t="inlineStr">
        <is>
          <t>Harley</t>
        </is>
      </c>
      <c r="D30" t="inlineStr">
        <is>
          <t>12am-8am</t>
        </is>
      </c>
      <c r="E30" t="inlineStr">
        <is>
          <t>Present</t>
        </is>
      </c>
    </row>
    <row r="31">
      <c r="A31" t="inlineStr">
        <is>
          <t>2026-04-17</t>
        </is>
      </c>
      <c r="B31" t="inlineStr">
        <is>
          <t>Fri</t>
        </is>
      </c>
      <c r="C31" t="inlineStr">
        <is>
          <t>Patrick</t>
        </is>
      </c>
      <c r="D31" t="inlineStr">
        <is>
          <t>8am-4pm</t>
        </is>
      </c>
      <c r="E31" t="inlineStr">
        <is>
          <t>Present</t>
        </is>
      </c>
    </row>
    <row r="32">
      <c r="A32" t="inlineStr">
        <is>
          <t>2026-04-18</t>
        </is>
      </c>
      <c r="B32" t="inlineStr">
        <is>
          <t>Sat</t>
        </is>
      </c>
      <c r="C32" t="inlineStr">
        <is>
          <t>ATL Jezryl</t>
        </is>
      </c>
      <c r="D32" t="inlineStr">
        <is>
          <t>8am-4pm</t>
        </is>
      </c>
      <c r="E32" t="inlineStr">
        <is>
          <t>Present</t>
        </is>
      </c>
    </row>
    <row r="33">
      <c r="A33" t="inlineStr">
        <is>
          <t>2026-04-18</t>
        </is>
      </c>
      <c r="B33" t="inlineStr">
        <is>
          <t>Sat</t>
        </is>
      </c>
      <c r="C33" t="inlineStr">
        <is>
          <t>ATL Richard</t>
        </is>
      </c>
      <c r="D33" t="inlineStr">
        <is>
          <t>12am-8am</t>
        </is>
      </c>
      <c r="E33" t="inlineStr">
        <is>
          <t>Present</t>
        </is>
      </c>
    </row>
    <row r="34">
      <c r="A34" t="inlineStr">
        <is>
          <t>2026-04-18</t>
        </is>
      </c>
      <c r="B34" t="inlineStr">
        <is>
          <t>Sat</t>
        </is>
      </c>
      <c r="C34" t="inlineStr">
        <is>
          <t>Alyssa</t>
        </is>
      </c>
      <c r="D34" t="inlineStr">
        <is>
          <t>4pm-12am</t>
        </is>
      </c>
      <c r="E34" t="inlineStr">
        <is>
          <t>Present</t>
        </is>
      </c>
    </row>
    <row r="35">
      <c r="A35" t="inlineStr">
        <is>
          <t>2026-04-18</t>
        </is>
      </c>
      <c r="B35" t="inlineStr">
        <is>
          <t>Sat</t>
        </is>
      </c>
      <c r="C35" t="inlineStr">
        <is>
          <t>Harley</t>
        </is>
      </c>
      <c r="D35" t="inlineStr">
        <is>
          <t>OFF</t>
        </is>
      </c>
    </row>
    <row r="36">
      <c r="A36" t="inlineStr">
        <is>
          <t>2026-04-18</t>
        </is>
      </c>
      <c r="B36" t="inlineStr">
        <is>
          <t>Sat</t>
        </is>
      </c>
      <c r="C36" t="inlineStr">
        <is>
          <t>Patrick</t>
        </is>
      </c>
      <c r="D36" t="inlineStr">
        <is>
          <t>OFF</t>
        </is>
      </c>
    </row>
    <row r="37">
      <c r="A37" t="inlineStr">
        <is>
          <t>2026-04-19</t>
        </is>
      </c>
      <c r="B37" t="inlineStr">
        <is>
          <t>Sun</t>
        </is>
      </c>
      <c r="C37" t="inlineStr">
        <is>
          <t>ATL Jezryl</t>
        </is>
      </c>
      <c r="D37" t="inlineStr">
        <is>
          <t>OFF</t>
        </is>
      </c>
    </row>
    <row r="38">
      <c r="A38" t="inlineStr">
        <is>
          <t>2026-04-19</t>
        </is>
      </c>
      <c r="B38" t="inlineStr">
        <is>
          <t>Sun</t>
        </is>
      </c>
      <c r="C38" t="inlineStr">
        <is>
          <t>ATL John Manuel</t>
        </is>
      </c>
      <c r="D38" t="inlineStr">
        <is>
          <t>12am-8am</t>
        </is>
      </c>
      <c r="E38" t="inlineStr">
        <is>
          <t>Present</t>
        </is>
      </c>
    </row>
    <row r="39">
      <c r="A39" t="inlineStr">
        <is>
          <t>2026-04-19</t>
        </is>
      </c>
      <c r="B39" t="inlineStr">
        <is>
          <t>Sun</t>
        </is>
      </c>
      <c r="C39" t="inlineStr">
        <is>
          <t>ATL Kent</t>
        </is>
      </c>
      <c r="D39" t="inlineStr">
        <is>
          <t>OFF</t>
        </is>
      </c>
    </row>
    <row r="40">
      <c r="A40" t="inlineStr">
        <is>
          <t>2026-04-19</t>
        </is>
      </c>
      <c r="B40" t="inlineStr">
        <is>
          <t>Sun</t>
        </is>
      </c>
      <c r="C40" t="inlineStr">
        <is>
          <t>Alyssa</t>
        </is>
      </c>
      <c r="D40" t="inlineStr">
        <is>
          <t>CANCELLED OFF</t>
        </is>
      </c>
      <c r="E40" t="inlineStr">
        <is>
          <t>Present</t>
        </is>
      </c>
    </row>
    <row r="41">
      <c r="A41" t="inlineStr">
        <is>
          <t>2026-04-19</t>
        </is>
      </c>
      <c r="B41" t="inlineStr">
        <is>
          <t>Sun</t>
        </is>
      </c>
      <c r="C41" t="inlineStr">
        <is>
          <t>Harley</t>
        </is>
      </c>
      <c r="D41" t="inlineStr">
        <is>
          <t>12am-8am</t>
        </is>
      </c>
      <c r="E41" t="inlineStr">
        <is>
          <t>Present</t>
        </is>
      </c>
    </row>
    <row r="42">
      <c r="A42" t="inlineStr">
        <is>
          <t>2026-04-19</t>
        </is>
      </c>
      <c r="B42" t="inlineStr">
        <is>
          <t>Sun</t>
        </is>
      </c>
      <c r="C42" t="inlineStr">
        <is>
          <t>Patrick</t>
        </is>
      </c>
      <c r="D42" t="inlineStr">
        <is>
          <t>8am-4pm</t>
        </is>
      </c>
      <c r="E42" t="inlineStr">
        <is>
          <t>Present</t>
        </is>
      </c>
    </row>
    <row r="43">
      <c r="A43" t="inlineStr">
        <is>
          <t>2026-04-20</t>
        </is>
      </c>
      <c r="B43" t="inlineStr">
        <is>
          <t>Mon</t>
        </is>
      </c>
      <c r="C43" t="inlineStr">
        <is>
          <t>ATL Jezryl</t>
        </is>
      </c>
      <c r="D43" t="inlineStr">
        <is>
          <t>Cancelled OFF</t>
        </is>
      </c>
      <c r="E43" t="inlineStr">
        <is>
          <t>Present</t>
        </is>
      </c>
    </row>
    <row r="44">
      <c r="A44" t="inlineStr">
        <is>
          <t>2026-04-20</t>
        </is>
      </c>
      <c r="B44" t="inlineStr">
        <is>
          <t>Mon</t>
        </is>
      </c>
      <c r="C44" t="inlineStr">
        <is>
          <t>ATL John Manuel</t>
        </is>
      </c>
      <c r="D44" t="inlineStr">
        <is>
          <t>OFF</t>
        </is>
      </c>
    </row>
    <row r="45">
      <c r="A45" t="inlineStr">
        <is>
          <t>2026-04-20</t>
        </is>
      </c>
      <c r="B45" t="inlineStr">
        <is>
          <t>Mon</t>
        </is>
      </c>
      <c r="C45" t="inlineStr">
        <is>
          <t>ATL Kent</t>
        </is>
      </c>
      <c r="D45" t="inlineStr">
        <is>
          <t>OFF</t>
        </is>
      </c>
    </row>
    <row r="46">
      <c r="A46" t="inlineStr">
        <is>
          <t>2026-04-20</t>
        </is>
      </c>
      <c r="B46" t="inlineStr">
        <is>
          <t>Mon</t>
        </is>
      </c>
      <c r="C46" t="inlineStr">
        <is>
          <t>Alyssa</t>
        </is>
      </c>
      <c r="D46" t="inlineStr">
        <is>
          <t>4pm-12am</t>
        </is>
      </c>
      <c r="E46" t="inlineStr">
        <is>
          <t>Present</t>
        </is>
      </c>
    </row>
    <row r="47">
      <c r="A47" t="inlineStr">
        <is>
          <t>2026-04-20</t>
        </is>
      </c>
      <c r="B47" t="inlineStr">
        <is>
          <t>Mon</t>
        </is>
      </c>
      <c r="C47" t="inlineStr">
        <is>
          <t>Harley</t>
        </is>
      </c>
      <c r="D47" t="inlineStr">
        <is>
          <t>12am-8am</t>
        </is>
      </c>
      <c r="E47" t="inlineStr">
        <is>
          <t>Present</t>
        </is>
      </c>
    </row>
    <row r="48">
      <c r="A48" t="inlineStr">
        <is>
          <t>2026-04-20</t>
        </is>
      </c>
      <c r="B48" t="inlineStr">
        <is>
          <t>Mon</t>
        </is>
      </c>
      <c r="C48" t="inlineStr">
        <is>
          <t>Patrick</t>
        </is>
      </c>
      <c r="D48" t="inlineStr">
        <is>
          <t>8am-4pm</t>
        </is>
      </c>
      <c r="E48" t="inlineStr">
        <is>
          <t>Present</t>
        </is>
      </c>
    </row>
    <row r="49">
      <c r="A49" t="inlineStr">
        <is>
          <t>2026-04-21</t>
        </is>
      </c>
      <c r="B49" t="inlineStr">
        <is>
          <t>Tue</t>
        </is>
      </c>
      <c r="C49" t="inlineStr">
        <is>
          <t>ATL Jezryl</t>
        </is>
      </c>
      <c r="D49" t="inlineStr">
        <is>
          <t>8am-4pm</t>
        </is>
      </c>
      <c r="E49" t="inlineStr">
        <is>
          <t>Present</t>
        </is>
      </c>
    </row>
    <row r="50">
      <c r="A50" t="inlineStr">
        <is>
          <t>2026-04-21</t>
        </is>
      </c>
      <c r="B50" t="inlineStr">
        <is>
          <t>Tue</t>
        </is>
      </c>
      <c r="C50" t="inlineStr">
        <is>
          <t>ATL John Manuel</t>
        </is>
      </c>
      <c r="D50" t="inlineStr">
        <is>
          <t>12am-8am</t>
        </is>
      </c>
      <c r="E50" t="inlineStr">
        <is>
          <t>Present</t>
        </is>
      </c>
    </row>
    <row r="51">
      <c r="A51" t="inlineStr">
        <is>
          <t>2026-04-21</t>
        </is>
      </c>
      <c r="B51" t="inlineStr">
        <is>
          <t>Tue</t>
        </is>
      </c>
      <c r="C51" t="inlineStr">
        <is>
          <t>ATL Kent</t>
        </is>
      </c>
      <c r="D51" t="inlineStr">
        <is>
          <t>12am-8am</t>
        </is>
      </c>
      <c r="E51" t="inlineStr">
        <is>
          <t>Present</t>
        </is>
      </c>
    </row>
    <row r="52">
      <c r="A52" t="inlineStr">
        <is>
          <t>2026-04-21</t>
        </is>
      </c>
      <c r="B52" t="inlineStr">
        <is>
          <t>Tue</t>
        </is>
      </c>
      <c r="C52" t="inlineStr">
        <is>
          <t>Alyssa</t>
        </is>
      </c>
      <c r="D52" t="inlineStr">
        <is>
          <t>4pm-12am</t>
        </is>
      </c>
      <c r="E52" t="inlineStr">
        <is>
          <t>Present</t>
        </is>
      </c>
    </row>
    <row r="53">
      <c r="A53" t="inlineStr">
        <is>
          <t>2026-04-21</t>
        </is>
      </c>
      <c r="B53" t="inlineStr">
        <is>
          <t>Tue</t>
        </is>
      </c>
      <c r="C53" t="inlineStr">
        <is>
          <t>Harley</t>
        </is>
      </c>
      <c r="D53" t="inlineStr">
        <is>
          <t>10pm-4am</t>
        </is>
      </c>
      <c r="E53" t="inlineStr">
        <is>
          <t>Present</t>
        </is>
      </c>
    </row>
    <row r="54">
      <c r="A54" t="inlineStr">
        <is>
          <t>2026-04-21</t>
        </is>
      </c>
      <c r="B54" t="inlineStr">
        <is>
          <t>Tue</t>
        </is>
      </c>
      <c r="C54" t="inlineStr">
        <is>
          <t>Patrick</t>
        </is>
      </c>
      <c r="D54" t="inlineStr">
        <is>
          <t>8am-4pm</t>
        </is>
      </c>
      <c r="E54" t="inlineStr">
        <is>
          <t>Present</t>
        </is>
      </c>
    </row>
    <row r="55">
      <c r="A55" t="inlineStr">
        <is>
          <t>2026-04-22</t>
        </is>
      </c>
      <c r="B55" t="inlineStr">
        <is>
          <t>Wed</t>
        </is>
      </c>
      <c r="C55" t="inlineStr">
        <is>
          <t>ATL Jezryl</t>
        </is>
      </c>
      <c r="D55" t="inlineStr">
        <is>
          <t>Cancelled shift</t>
        </is>
      </c>
      <c r="E55" t="inlineStr">
        <is>
          <t>Absent</t>
        </is>
      </c>
    </row>
    <row r="56">
      <c r="A56" t="inlineStr">
        <is>
          <t>2026-04-22</t>
        </is>
      </c>
      <c r="B56" t="inlineStr">
        <is>
          <t>Wed</t>
        </is>
      </c>
      <c r="C56" t="inlineStr">
        <is>
          <t>ATL John Manuel</t>
        </is>
      </c>
      <c r="D56" t="inlineStr">
        <is>
          <t>12am-8am</t>
        </is>
      </c>
    </row>
    <row r="57">
      <c r="A57" t="inlineStr">
        <is>
          <t>2026-04-22</t>
        </is>
      </c>
      <c r="B57" t="inlineStr">
        <is>
          <t>Wed</t>
        </is>
      </c>
      <c r="C57" t="inlineStr">
        <is>
          <t>ATL Kent</t>
        </is>
      </c>
      <c r="D57" t="inlineStr">
        <is>
          <t>12am-8am</t>
        </is>
      </c>
    </row>
    <row r="58">
      <c r="A58" t="inlineStr">
        <is>
          <t>2026-04-22</t>
        </is>
      </c>
      <c r="B58" t="inlineStr">
        <is>
          <t>Wed</t>
        </is>
      </c>
      <c r="C58" t="inlineStr">
        <is>
          <t>Alyssa</t>
        </is>
      </c>
      <c r="D58" t="inlineStr">
        <is>
          <t>OFF</t>
        </is>
      </c>
    </row>
    <row r="59">
      <c r="A59" t="inlineStr">
        <is>
          <t>2026-04-22</t>
        </is>
      </c>
      <c r="B59" t="inlineStr">
        <is>
          <t>Wed</t>
        </is>
      </c>
      <c r="C59" t="inlineStr">
        <is>
          <t>Harley</t>
        </is>
      </c>
      <c r="D59" t="inlineStr">
        <is>
          <t>OFF</t>
        </is>
      </c>
    </row>
    <row r="60">
      <c r="A60" t="inlineStr">
        <is>
          <t>2026-04-22</t>
        </is>
      </c>
      <c r="B60" t="inlineStr">
        <is>
          <t>Wed</t>
        </is>
      </c>
      <c r="C60" t="inlineStr">
        <is>
          <t>Patrick</t>
        </is>
      </c>
      <c r="D60" t="inlineStr">
        <is>
          <t>8am-4pm</t>
        </is>
      </c>
      <c r="E60" t="inlineStr">
        <is>
          <t>Present</t>
        </is>
      </c>
    </row>
    <row r="61">
      <c r="A61" t="inlineStr">
        <is>
          <t>2026-04-23</t>
        </is>
      </c>
      <c r="B61" t="inlineStr">
        <is>
          <t>Thu</t>
        </is>
      </c>
      <c r="C61" t="inlineStr">
        <is>
          <t>ATL Jezryl</t>
        </is>
      </c>
      <c r="D61" t="inlineStr">
        <is>
          <t>8am-4pm</t>
        </is>
      </c>
    </row>
    <row r="62">
      <c r="A62" t="inlineStr">
        <is>
          <t>2026-04-23</t>
        </is>
      </c>
      <c r="B62" t="inlineStr">
        <is>
          <t>Thu</t>
        </is>
      </c>
      <c r="C62" t="inlineStr">
        <is>
          <t>ATL John Manuel</t>
        </is>
      </c>
      <c r="D62" t="inlineStr">
        <is>
          <t>12am-8am</t>
        </is>
      </c>
    </row>
    <row r="63">
      <c r="A63" t="inlineStr">
        <is>
          <t>2026-04-23</t>
        </is>
      </c>
      <c r="B63" t="inlineStr">
        <is>
          <t>Thu</t>
        </is>
      </c>
      <c r="C63" t="inlineStr">
        <is>
          <t>ATL Kent</t>
        </is>
      </c>
      <c r="D63" t="inlineStr">
        <is>
          <t>12am-8am</t>
        </is>
      </c>
    </row>
    <row r="64">
      <c r="A64" t="inlineStr">
        <is>
          <t>2026-04-23</t>
        </is>
      </c>
      <c r="B64" t="inlineStr">
        <is>
          <t>Thu</t>
        </is>
      </c>
      <c r="C64" t="inlineStr">
        <is>
          <t>Alyssa</t>
        </is>
      </c>
      <c r="D64" t="inlineStr">
        <is>
          <t>4pm-12am</t>
        </is>
      </c>
      <c r="E64" t="inlineStr">
        <is>
          <t>Present</t>
        </is>
      </c>
    </row>
    <row r="65">
      <c r="A65" t="inlineStr">
        <is>
          <t>2026-04-23</t>
        </is>
      </c>
      <c r="B65" t="inlineStr">
        <is>
          <t>Thu</t>
        </is>
      </c>
      <c r="C65" t="inlineStr">
        <is>
          <t>Harley</t>
        </is>
      </c>
      <c r="D65" t="inlineStr">
        <is>
          <t>12am-8am</t>
        </is>
      </c>
      <c r="E65" t="inlineStr">
        <is>
          <t>Present</t>
        </is>
      </c>
    </row>
    <row r="66">
      <c r="A66" t="inlineStr">
        <is>
          <t>2026-04-23</t>
        </is>
      </c>
      <c r="B66" t="inlineStr">
        <is>
          <t>Thu</t>
        </is>
      </c>
      <c r="C66" t="inlineStr">
        <is>
          <t>Patrick</t>
        </is>
      </c>
      <c r="D66" t="inlineStr">
        <is>
          <t>OFF</t>
        </is>
      </c>
    </row>
    <row r="67">
      <c r="A67" t="inlineStr">
        <is>
          <t>2026-04-24</t>
        </is>
      </c>
      <c r="B67" t="inlineStr">
        <is>
          <t>Fri</t>
        </is>
      </c>
      <c r="C67" t="inlineStr">
        <is>
          <t>ATL Jezryl</t>
        </is>
      </c>
      <c r="D67" t="inlineStr">
        <is>
          <t>8am-4pm</t>
        </is>
      </c>
    </row>
    <row r="68">
      <c r="A68" t="inlineStr">
        <is>
          <t>2026-04-24</t>
        </is>
      </c>
      <c r="B68" t="inlineStr">
        <is>
          <t>Fri</t>
        </is>
      </c>
      <c r="C68" t="inlineStr">
        <is>
          <t>ATL John Manuel</t>
        </is>
      </c>
      <c r="D68" t="inlineStr">
        <is>
          <t>OFF</t>
        </is>
      </c>
    </row>
    <row r="69">
      <c r="A69" t="inlineStr">
        <is>
          <t>2026-04-24</t>
        </is>
      </c>
      <c r="B69" t="inlineStr">
        <is>
          <t>Fri</t>
        </is>
      </c>
      <c r="C69" t="inlineStr">
        <is>
          <t>ATL Kent</t>
        </is>
      </c>
      <c r="D69" t="inlineStr">
        <is>
          <t>12am-8am</t>
        </is>
      </c>
    </row>
    <row r="70">
      <c r="A70" t="inlineStr">
        <is>
          <t>2026-04-24</t>
        </is>
      </c>
      <c r="B70" t="inlineStr">
        <is>
          <t>Fri</t>
        </is>
      </c>
      <c r="C70" t="inlineStr">
        <is>
          <t>Alyssa</t>
        </is>
      </c>
      <c r="D70" t="inlineStr">
        <is>
          <t>4pm-12am</t>
        </is>
      </c>
      <c r="E70" t="inlineStr">
        <is>
          <t>Present</t>
        </is>
      </c>
    </row>
    <row r="71">
      <c r="A71" t="inlineStr">
        <is>
          <t>2026-04-24</t>
        </is>
      </c>
      <c r="B71" t="inlineStr">
        <is>
          <t>Fri</t>
        </is>
      </c>
      <c r="C71" t="inlineStr">
        <is>
          <t>Harley</t>
        </is>
      </c>
      <c r="D71" t="inlineStr">
        <is>
          <t>12am-8am</t>
        </is>
      </c>
      <c r="E71" t="inlineStr">
        <is>
          <t>Present</t>
        </is>
      </c>
    </row>
    <row r="72">
      <c r="A72" t="inlineStr">
        <is>
          <t>2026-04-24</t>
        </is>
      </c>
      <c r="B72" t="inlineStr">
        <is>
          <t>Fri</t>
        </is>
      </c>
      <c r="C72" t="inlineStr">
        <is>
          <t>Patrick</t>
        </is>
      </c>
      <c r="D72" t="inlineStr">
        <is>
          <t>8am-4pm</t>
        </is>
      </c>
      <c r="E72" t="inlineStr">
        <is>
          <t>Present</t>
        </is>
      </c>
    </row>
    <row r="73">
      <c r="A73" t="inlineStr">
        <is>
          <t>2026-04-25</t>
        </is>
      </c>
      <c r="B73" t="inlineStr">
        <is>
          <t>Sat</t>
        </is>
      </c>
      <c r="C73" t="inlineStr">
        <is>
          <t>ATL Jezryl</t>
        </is>
      </c>
      <c r="D73" t="inlineStr">
        <is>
          <t>8am-4pm</t>
        </is>
      </c>
    </row>
    <row r="74">
      <c r="A74" t="inlineStr">
        <is>
          <t>2026-04-25</t>
        </is>
      </c>
      <c r="B74" t="inlineStr">
        <is>
          <t>Sat</t>
        </is>
      </c>
      <c r="C74" t="inlineStr">
        <is>
          <t>ATL John Manuel</t>
        </is>
      </c>
      <c r="D74" t="inlineStr">
        <is>
          <t>12am-8am</t>
        </is>
      </c>
    </row>
    <row r="75">
      <c r="A75" t="inlineStr">
        <is>
          <t>2026-04-25</t>
        </is>
      </c>
      <c r="B75" t="inlineStr">
        <is>
          <t>Sat</t>
        </is>
      </c>
      <c r="C75" t="inlineStr">
        <is>
          <t>ATL Kent</t>
        </is>
      </c>
      <c r="D75" t="inlineStr">
        <is>
          <t>12am-8am</t>
        </is>
      </c>
    </row>
    <row r="76">
      <c r="A76" t="inlineStr">
        <is>
          <t>2026-04-25</t>
        </is>
      </c>
      <c r="B76" t="inlineStr">
        <is>
          <t>Sat</t>
        </is>
      </c>
      <c r="C76" t="inlineStr">
        <is>
          <t>Alyssa</t>
        </is>
      </c>
      <c r="D76" t="inlineStr">
        <is>
          <t>4pm-12am</t>
        </is>
      </c>
      <c r="E76" t="inlineStr">
        <is>
          <t>Present</t>
        </is>
      </c>
    </row>
    <row r="77">
      <c r="A77" t="inlineStr">
        <is>
          <t>2026-04-25</t>
        </is>
      </c>
      <c r="B77" t="inlineStr">
        <is>
          <t>Sat</t>
        </is>
      </c>
      <c r="C77" t="inlineStr">
        <is>
          <t>Harley</t>
        </is>
      </c>
      <c r="D77" t="inlineStr">
        <is>
          <t>OFF</t>
        </is>
      </c>
    </row>
    <row r="78">
      <c r="A78" t="inlineStr">
        <is>
          <t>2026-04-25</t>
        </is>
      </c>
      <c r="B78" t="inlineStr">
        <is>
          <t>Sat</t>
        </is>
      </c>
      <c r="C78" t="inlineStr">
        <is>
          <t>Patrick</t>
        </is>
      </c>
      <c r="D78" t="inlineStr">
        <is>
          <t>OFF</t>
        </is>
      </c>
    </row>
    <row r="79">
      <c r="A79" t="inlineStr">
        <is>
          <t>2026-04-26</t>
        </is>
      </c>
      <c r="B79" t="inlineStr">
        <is>
          <t>Sun</t>
        </is>
      </c>
      <c r="C79" t="inlineStr">
        <is>
          <t>Alyssa</t>
        </is>
      </c>
      <c r="D79" t="inlineStr">
        <is>
          <t>OFF</t>
        </is>
      </c>
      <c r="E79" t="inlineStr">
        <is>
          <t>-</t>
        </is>
      </c>
    </row>
    <row r="80">
      <c r="A80" t="inlineStr">
        <is>
          <t>2026-04-26</t>
        </is>
      </c>
      <c r="B80" t="inlineStr">
        <is>
          <t>Sun</t>
        </is>
      </c>
      <c r="C80" t="inlineStr">
        <is>
          <t>John Manuel</t>
        </is>
      </c>
      <c r="D80" t="inlineStr">
        <is>
          <t>12am-8am</t>
        </is>
      </c>
      <c r="E80" t="inlineStr">
        <is>
          <t>Present</t>
        </is>
      </c>
    </row>
    <row r="81">
      <c r="A81" t="inlineStr">
        <is>
          <t>2026-04-26</t>
        </is>
      </c>
      <c r="B81" t="inlineStr">
        <is>
          <t>Sun</t>
        </is>
      </c>
      <c r="C81" t="inlineStr">
        <is>
          <t>Micko Tanedo</t>
        </is>
      </c>
      <c r="D81" t="inlineStr">
        <is>
          <t>OFF</t>
        </is>
      </c>
      <c r="E81" t="inlineStr">
        <is>
          <t>-</t>
        </is>
      </c>
    </row>
    <row r="82">
      <c r="A82" t="inlineStr">
        <is>
          <t>2026-04-27</t>
        </is>
      </c>
      <c r="B82" t="inlineStr">
        <is>
          <t>Mon</t>
        </is>
      </c>
      <c r="C82" t="inlineStr">
        <is>
          <t>Alyssa</t>
        </is>
      </c>
      <c r="D82" t="inlineStr">
        <is>
          <t>4pm-12am</t>
        </is>
      </c>
      <c r="E82" t="inlineStr">
        <is>
          <t>Present</t>
        </is>
      </c>
    </row>
    <row r="83">
      <c r="A83" t="inlineStr">
        <is>
          <t>2026-04-27</t>
        </is>
      </c>
      <c r="B83" t="inlineStr">
        <is>
          <t>Mon</t>
        </is>
      </c>
      <c r="C83" t="inlineStr">
        <is>
          <t>John Manuel</t>
        </is>
      </c>
      <c r="D83" t="inlineStr">
        <is>
          <t>12am-8am</t>
        </is>
      </c>
      <c r="E83" t="inlineStr">
        <is>
          <t>Present</t>
        </is>
      </c>
    </row>
    <row r="84">
      <c r="A84" t="inlineStr">
        <is>
          <t>2026-04-27</t>
        </is>
      </c>
      <c r="B84" t="inlineStr">
        <is>
          <t>Mon</t>
        </is>
      </c>
      <c r="C84" t="inlineStr">
        <is>
          <t>Micko Tanedo</t>
        </is>
      </c>
      <c r="D84" t="inlineStr">
        <is>
          <t>8am-4pm</t>
        </is>
      </c>
      <c r="E84" t="inlineStr">
        <is>
          <t>Present</t>
        </is>
      </c>
    </row>
    <row r="85">
      <c r="A85" t="inlineStr">
        <is>
          <t>2026-04-28</t>
        </is>
      </c>
      <c r="B85" t="inlineStr">
        <is>
          <t>Tue</t>
        </is>
      </c>
      <c r="C85" t="inlineStr">
        <is>
          <t>Alyssa</t>
        </is>
      </c>
      <c r="D85" t="inlineStr">
        <is>
          <t>4pm-12am</t>
        </is>
      </c>
      <c r="E85" t="inlineStr">
        <is>
          <t>Present</t>
        </is>
      </c>
    </row>
    <row r="86">
      <c r="A86" t="inlineStr">
        <is>
          <t>2026-04-28</t>
        </is>
      </c>
      <c r="B86" t="inlineStr">
        <is>
          <t>Tue</t>
        </is>
      </c>
      <c r="C86" t="inlineStr">
        <is>
          <t>John Manuel</t>
        </is>
      </c>
      <c r="D86" t="inlineStr">
        <is>
          <t>10pm-4am</t>
        </is>
      </c>
      <c r="E86" t="inlineStr">
        <is>
          <t>Present</t>
        </is>
      </c>
    </row>
    <row r="87">
      <c r="A87" t="inlineStr">
        <is>
          <t>2026-04-28</t>
        </is>
      </c>
      <c r="B87" t="inlineStr">
        <is>
          <t>Tue</t>
        </is>
      </c>
      <c r="C87" t="inlineStr">
        <is>
          <t>Micko Tanedo</t>
        </is>
      </c>
      <c r="D87" t="inlineStr">
        <is>
          <t>8am-4pm</t>
        </is>
      </c>
      <c r="E87" t="inlineStr">
        <is>
          <t>Present</t>
        </is>
      </c>
    </row>
    <row r="88">
      <c r="A88" t="inlineStr">
        <is>
          <t>2026-04-29</t>
        </is>
      </c>
      <c r="B88" t="inlineStr">
        <is>
          <t>Wed</t>
        </is>
      </c>
      <c r="C88" t="inlineStr">
        <is>
          <t>Alyssa</t>
        </is>
      </c>
      <c r="D88" t="inlineStr">
        <is>
          <t>OFF</t>
        </is>
      </c>
    </row>
    <row r="89">
      <c r="A89" t="inlineStr">
        <is>
          <t>2026-04-29</t>
        </is>
      </c>
      <c r="B89" t="inlineStr">
        <is>
          <t>Wed</t>
        </is>
      </c>
      <c r="C89" t="inlineStr">
        <is>
          <t>John Manuel</t>
        </is>
      </c>
      <c r="D89" t="inlineStr">
        <is>
          <t>Cancelled OFF</t>
        </is>
      </c>
      <c r="E89" t="inlineStr">
        <is>
          <t>Present</t>
        </is>
      </c>
    </row>
    <row r="90">
      <c r="A90" t="inlineStr">
        <is>
          <t>2026-04-29</t>
        </is>
      </c>
      <c r="B90" t="inlineStr">
        <is>
          <t>Wed</t>
        </is>
      </c>
      <c r="C90" t="inlineStr">
        <is>
          <t>Micko Tanedo</t>
        </is>
      </c>
      <c r="D90" t="inlineStr">
        <is>
          <t>8am-4pm</t>
        </is>
      </c>
      <c r="E90" t="inlineStr">
        <is>
          <t>-</t>
        </is>
      </c>
    </row>
    <row r="91">
      <c r="A91" t="inlineStr">
        <is>
          <t>2026-04-30</t>
        </is>
      </c>
      <c r="B91" t="inlineStr">
        <is>
          <t>Thu</t>
        </is>
      </c>
      <c r="C91" t="inlineStr">
        <is>
          <t>Alyssa</t>
        </is>
      </c>
      <c r="D91" t="inlineStr">
        <is>
          <t>4pm-12am</t>
        </is>
      </c>
      <c r="E91" t="inlineStr">
        <is>
          <t>Present</t>
        </is>
      </c>
    </row>
    <row r="92">
      <c r="A92" t="inlineStr">
        <is>
          <t>2026-04-30</t>
        </is>
      </c>
      <c r="B92" t="inlineStr">
        <is>
          <t>Thu</t>
        </is>
      </c>
      <c r="C92" t="inlineStr">
        <is>
          <t>John Manuel</t>
        </is>
      </c>
      <c r="D92" t="inlineStr">
        <is>
          <t>12am-8am</t>
        </is>
      </c>
      <c r="E92" t="inlineStr">
        <is>
          <t>Present</t>
        </is>
      </c>
    </row>
    <row r="93">
      <c r="A93" t="inlineStr">
        <is>
          <t>2026-04-30</t>
        </is>
      </c>
      <c r="B93" t="inlineStr">
        <is>
          <t>Thu</t>
        </is>
      </c>
      <c r="C93" t="inlineStr">
        <is>
          <t>Micko Tanedo</t>
        </is>
      </c>
      <c r="D93" t="inlineStr">
        <is>
          <t>OFF</t>
        </is>
      </c>
    </row>
    <row r="94">
      <c r="A94" t="inlineStr">
        <is>
          <t>2026-05-01</t>
        </is>
      </c>
      <c r="B94" t="inlineStr">
        <is>
          <t>Fri</t>
        </is>
      </c>
      <c r="C94" t="inlineStr">
        <is>
          <t>Alyssa</t>
        </is>
      </c>
      <c r="D94" t="inlineStr">
        <is>
          <t>4pm-12am</t>
        </is>
      </c>
      <c r="E94" t="inlineStr">
        <is>
          <t>Present</t>
        </is>
      </c>
    </row>
    <row r="95">
      <c r="A95" t="inlineStr">
        <is>
          <t>2026-05-01</t>
        </is>
      </c>
      <c r="B95" t="inlineStr">
        <is>
          <t>Fri</t>
        </is>
      </c>
      <c r="C95" t="inlineStr">
        <is>
          <t>John Manuel</t>
        </is>
      </c>
      <c r="D95" t="inlineStr">
        <is>
          <t>12am-8am</t>
        </is>
      </c>
      <c r="E95" t="inlineStr">
        <is>
          <t>Present</t>
        </is>
      </c>
    </row>
    <row r="96">
      <c r="A96" t="inlineStr">
        <is>
          <t>2026-05-01</t>
        </is>
      </c>
      <c r="B96" t="inlineStr">
        <is>
          <t>Fri</t>
        </is>
      </c>
      <c r="C96" t="inlineStr">
        <is>
          <t>Micko Tanedo</t>
        </is>
      </c>
      <c r="D96" t="inlineStr">
        <is>
          <t>8am-4pm</t>
        </is>
      </c>
    </row>
    <row r="97">
      <c r="A97" t="inlineStr">
        <is>
          <t>2026-05-02</t>
        </is>
      </c>
      <c r="B97" t="inlineStr">
        <is>
          <t>Sat</t>
        </is>
      </c>
      <c r="C97" t="inlineStr">
        <is>
          <t>Alyssa</t>
        </is>
      </c>
      <c r="D97" t="inlineStr">
        <is>
          <t>4pm-12am</t>
        </is>
      </c>
      <c r="E97" t="inlineStr">
        <is>
          <t>Present</t>
        </is>
      </c>
    </row>
    <row r="98">
      <c r="A98" t="inlineStr">
        <is>
          <t>2026-05-02</t>
        </is>
      </c>
      <c r="B98" t="inlineStr">
        <is>
          <t>Sat</t>
        </is>
      </c>
      <c r="C98" t="inlineStr">
        <is>
          <t>John Manuel</t>
        </is>
      </c>
      <c r="D98" t="inlineStr">
        <is>
          <t>OFF</t>
        </is>
      </c>
    </row>
    <row r="99">
      <c r="A99" t="inlineStr">
        <is>
          <t>2026-05-02</t>
        </is>
      </c>
      <c r="B99" t="inlineStr">
        <is>
          <t>Sat</t>
        </is>
      </c>
      <c r="C99" t="inlineStr">
        <is>
          <t>Micko Tanedo</t>
        </is>
      </c>
      <c r="D99" t="inlineStr">
        <is>
          <t>8am-4pm</t>
        </is>
      </c>
    </row>
    <row r="100">
      <c r="A100" t="inlineStr">
        <is>
          <t>2026-05-03</t>
        </is>
      </c>
      <c r="B100" t="inlineStr">
        <is>
          <t>Sun</t>
        </is>
      </c>
      <c r="C100" t="inlineStr">
        <is>
          <t>Alyssa</t>
        </is>
      </c>
      <c r="D100" t="inlineStr">
        <is>
          <t>OFF</t>
        </is>
      </c>
      <c r="E100" t="inlineStr">
        <is>
          <t>-</t>
        </is>
      </c>
    </row>
    <row r="101">
      <c r="A101" t="inlineStr">
        <is>
          <t>2026-05-03</t>
        </is>
      </c>
      <c r="B101" t="inlineStr">
        <is>
          <t>Sun</t>
        </is>
      </c>
      <c r="C101" t="inlineStr">
        <is>
          <t>John Manuel</t>
        </is>
      </c>
      <c r="D101" t="inlineStr">
        <is>
          <t>12am-8am</t>
        </is>
      </c>
      <c r="E101" t="inlineStr">
        <is>
          <t>Present</t>
        </is>
      </c>
    </row>
    <row r="102">
      <c r="A102" t="inlineStr">
        <is>
          <t>2026-05-03</t>
        </is>
      </c>
      <c r="B102" t="inlineStr">
        <is>
          <t>Sun</t>
        </is>
      </c>
      <c r="C102" t="inlineStr">
        <is>
          <t>Micko Tanedo</t>
        </is>
      </c>
      <c r="D102" t="inlineStr">
        <is>
          <t>OFF</t>
        </is>
      </c>
      <c r="E102" t="inlineStr">
        <is>
          <t>-</t>
        </is>
      </c>
    </row>
    <row r="103">
      <c r="A103" t="inlineStr">
        <is>
          <t>2026-05-04</t>
        </is>
      </c>
      <c r="B103" t="inlineStr">
        <is>
          <t>Mon</t>
        </is>
      </c>
      <c r="C103" t="inlineStr">
        <is>
          <t>Alyssa</t>
        </is>
      </c>
      <c r="D103" t="inlineStr">
        <is>
          <t>4pm-12am</t>
        </is>
      </c>
      <c r="E103" t="inlineStr">
        <is>
          <t>Present</t>
        </is>
      </c>
    </row>
    <row r="104">
      <c r="A104" t="inlineStr">
        <is>
          <t>2026-05-04</t>
        </is>
      </c>
      <c r="B104" t="inlineStr">
        <is>
          <t>Mon</t>
        </is>
      </c>
      <c r="C104" t="inlineStr">
        <is>
          <t>John Manuel</t>
        </is>
      </c>
      <c r="D104" t="inlineStr">
        <is>
          <t>12am-8am</t>
        </is>
      </c>
      <c r="E104" t="inlineStr">
        <is>
          <t>Present</t>
        </is>
      </c>
    </row>
    <row r="105">
      <c r="A105" t="inlineStr">
        <is>
          <t>2026-05-04</t>
        </is>
      </c>
      <c r="B105" t="inlineStr">
        <is>
          <t>Mon</t>
        </is>
      </c>
      <c r="C105" t="inlineStr">
        <is>
          <t>Micko Tanedo</t>
        </is>
      </c>
      <c r="D105" t="inlineStr">
        <is>
          <t>8am-4pm</t>
        </is>
      </c>
      <c r="E105" t="inlineStr">
        <is>
          <t>Present</t>
        </is>
      </c>
    </row>
    <row r="106">
      <c r="A106" t="inlineStr">
        <is>
          <t>2026-05-05</t>
        </is>
      </c>
      <c r="B106" t="inlineStr">
        <is>
          <t>Tue</t>
        </is>
      </c>
      <c r="C106" t="inlineStr">
        <is>
          <t>Alyssa</t>
        </is>
      </c>
      <c r="D106" t="inlineStr">
        <is>
          <t>4pm-12am</t>
        </is>
      </c>
      <c r="E106" t="inlineStr">
        <is>
          <t>Present/</t>
        </is>
      </c>
    </row>
    <row r="107">
      <c r="A107" t="inlineStr">
        <is>
          <t>2026-05-05</t>
        </is>
      </c>
      <c r="B107" t="inlineStr">
        <is>
          <t>Tue</t>
        </is>
      </c>
      <c r="C107" t="inlineStr">
        <is>
          <t>John Manuel</t>
        </is>
      </c>
      <c r="D107" t="inlineStr">
        <is>
          <t>10pm-4am</t>
        </is>
      </c>
      <c r="E107" t="inlineStr">
        <is>
          <t>Present</t>
        </is>
      </c>
    </row>
    <row r="108">
      <c r="A108" t="inlineStr">
        <is>
          <t>2026-05-05</t>
        </is>
      </c>
      <c r="B108" t="inlineStr">
        <is>
          <t>Tue</t>
        </is>
      </c>
      <c r="C108" t="inlineStr">
        <is>
          <t>Micko Tanedo</t>
        </is>
      </c>
      <c r="D108" t="inlineStr">
        <is>
          <t>8am-4pm</t>
        </is>
      </c>
      <c r="E108" t="inlineStr">
        <is>
          <t>Present</t>
        </is>
      </c>
    </row>
    <row r="109">
      <c r="A109" t="inlineStr">
        <is>
          <t>2026-05-06</t>
        </is>
      </c>
      <c r="B109" t="inlineStr">
        <is>
          <t>Wed</t>
        </is>
      </c>
      <c r="C109" t="inlineStr">
        <is>
          <t>Alyssa</t>
        </is>
      </c>
      <c r="D109" t="inlineStr">
        <is>
          <t>OFF</t>
        </is>
      </c>
    </row>
    <row r="110">
      <c r="A110" t="inlineStr">
        <is>
          <t>2026-05-06</t>
        </is>
      </c>
      <c r="B110" t="inlineStr">
        <is>
          <t>Wed</t>
        </is>
      </c>
      <c r="C110" t="inlineStr">
        <is>
          <t>John Manuel</t>
        </is>
      </c>
      <c r="D110" t="inlineStr">
        <is>
          <t>OFF</t>
        </is>
      </c>
    </row>
    <row r="111">
      <c r="A111" t="inlineStr">
        <is>
          <t>2026-05-06</t>
        </is>
      </c>
      <c r="B111" t="inlineStr">
        <is>
          <t>Wed</t>
        </is>
      </c>
      <c r="C111" t="inlineStr">
        <is>
          <t>Micko Tanedo</t>
        </is>
      </c>
      <c r="D111" t="inlineStr">
        <is>
          <t>OFF</t>
        </is>
      </c>
      <c r="E111" t="inlineStr">
        <is>
          <t>-</t>
        </is>
      </c>
    </row>
    <row r="112">
      <c r="A112" t="inlineStr">
        <is>
          <t>2026-05-07</t>
        </is>
      </c>
      <c r="B112" t="inlineStr">
        <is>
          <t>Thu</t>
        </is>
      </c>
      <c r="C112" t="inlineStr">
        <is>
          <t>Alyssa</t>
        </is>
      </c>
      <c r="D112" t="inlineStr">
        <is>
          <t>4pm-12am</t>
        </is>
      </c>
      <c r="E112" t="inlineStr">
        <is>
          <t>Present</t>
        </is>
      </c>
    </row>
    <row r="113">
      <c r="A113" t="inlineStr">
        <is>
          <t>2026-05-07</t>
        </is>
      </c>
      <c r="B113" t="inlineStr">
        <is>
          <t>Thu</t>
        </is>
      </c>
      <c r="C113" t="inlineStr">
        <is>
          <t>John Manuel</t>
        </is>
      </c>
      <c r="D113" t="inlineStr">
        <is>
          <t>12am-8am</t>
        </is>
      </c>
      <c r="E113" t="inlineStr">
        <is>
          <t>Present</t>
        </is>
      </c>
    </row>
    <row r="114">
      <c r="A114" t="inlineStr">
        <is>
          <t>2026-05-07</t>
        </is>
      </c>
      <c r="B114" t="inlineStr">
        <is>
          <t>Thu</t>
        </is>
      </c>
      <c r="C114" t="inlineStr">
        <is>
          <t>Micko Tanedo</t>
        </is>
      </c>
      <c r="D114" t="inlineStr">
        <is>
          <t>8am-4pm</t>
        </is>
      </c>
      <c r="E114" t="inlineStr">
        <is>
          <t>Present</t>
        </is>
      </c>
    </row>
    <row r="115">
      <c r="A115" t="inlineStr">
        <is>
          <t>2026-05-08</t>
        </is>
      </c>
      <c r="B115" t="inlineStr">
        <is>
          <t>Fri</t>
        </is>
      </c>
      <c r="C115" t="inlineStr">
        <is>
          <t>Alyssa</t>
        </is>
      </c>
      <c r="D115" t="inlineStr">
        <is>
          <t>4pm-12am</t>
        </is>
      </c>
      <c r="E115" t="inlineStr">
        <is>
          <t>Present</t>
        </is>
      </c>
    </row>
    <row r="116">
      <c r="A116" t="inlineStr">
        <is>
          <t>2026-05-08</t>
        </is>
      </c>
      <c r="B116" t="inlineStr">
        <is>
          <t>Fri</t>
        </is>
      </c>
      <c r="C116" t="inlineStr">
        <is>
          <t>John Manuel</t>
        </is>
      </c>
      <c r="D116" t="inlineStr">
        <is>
          <t>12am-8am</t>
        </is>
      </c>
      <c r="E116" t="inlineStr">
        <is>
          <t>Present</t>
        </is>
      </c>
    </row>
    <row r="117">
      <c r="A117" t="inlineStr">
        <is>
          <t>2026-05-08</t>
        </is>
      </c>
      <c r="B117" t="inlineStr">
        <is>
          <t>Fri</t>
        </is>
      </c>
      <c r="C117" t="inlineStr">
        <is>
          <t>Micko Tanedo</t>
        </is>
      </c>
      <c r="D117" t="inlineStr">
        <is>
          <t>8am-4pm</t>
        </is>
      </c>
      <c r="E117" t="inlineStr">
        <is>
          <t>Present</t>
        </is>
      </c>
    </row>
    <row r="118">
      <c r="A118" t="inlineStr">
        <is>
          <t>2026-05-09</t>
        </is>
      </c>
      <c r="B118" t="inlineStr">
        <is>
          <t>Sat</t>
        </is>
      </c>
      <c r="C118" t="inlineStr">
        <is>
          <t>Alyssa</t>
        </is>
      </c>
      <c r="D118" t="inlineStr">
        <is>
          <t>4pm-12am</t>
        </is>
      </c>
      <c r="E118" t="inlineStr">
        <is>
          <t>Present</t>
        </is>
      </c>
    </row>
    <row r="119">
      <c r="A119" t="inlineStr">
        <is>
          <t>2026-05-09</t>
        </is>
      </c>
      <c r="B119" t="inlineStr">
        <is>
          <t>Sat</t>
        </is>
      </c>
      <c r="C119" t="inlineStr">
        <is>
          <t>John Manuel</t>
        </is>
      </c>
      <c r="D119" t="inlineStr">
        <is>
          <t>OFF</t>
        </is>
      </c>
    </row>
    <row r="120">
      <c r="A120" t="inlineStr">
        <is>
          <t>2026-05-09</t>
        </is>
      </c>
      <c r="B120" t="inlineStr">
        <is>
          <t>Sat</t>
        </is>
      </c>
      <c r="C120" t="inlineStr">
        <is>
          <t>Micko Tanedo</t>
        </is>
      </c>
      <c r="D120" t="inlineStr">
        <is>
          <t>8am-4pm</t>
        </is>
      </c>
      <c r="E120" t="inlineStr">
        <is>
          <t>Present</t>
        </is>
      </c>
    </row>
    <row r="121">
      <c r="A121" t="inlineStr">
        <is>
          <t>2026-05-10</t>
        </is>
      </c>
      <c r="B121" t="inlineStr">
        <is>
          <t>Sun</t>
        </is>
      </c>
      <c r="C121" t="inlineStr">
        <is>
          <t>Alyssa</t>
        </is>
      </c>
      <c r="D121" t="inlineStr">
        <is>
          <t>OFF</t>
        </is>
      </c>
      <c r="E121" t="inlineStr">
        <is>
          <t>HALFDAY</t>
        </is>
      </c>
    </row>
    <row r="122">
      <c r="A122" t="inlineStr">
        <is>
          <t>2026-05-10</t>
        </is>
      </c>
      <c r="B122" t="inlineStr">
        <is>
          <t>Sun</t>
        </is>
      </c>
      <c r="C122" t="inlineStr">
        <is>
          <t>John Manuel</t>
        </is>
      </c>
      <c r="D122" t="inlineStr">
        <is>
          <t>12am-8am</t>
        </is>
      </c>
      <c r="E122" t="inlineStr">
        <is>
          <t>Present</t>
        </is>
      </c>
    </row>
    <row r="123">
      <c r="A123" t="inlineStr">
        <is>
          <t>2026-05-10</t>
        </is>
      </c>
      <c r="B123" t="inlineStr">
        <is>
          <t>Sun</t>
        </is>
      </c>
      <c r="C123" t="inlineStr">
        <is>
          <t>Micko Tanedo</t>
        </is>
      </c>
      <c r="D123" t="inlineStr">
        <is>
          <t>OFF</t>
        </is>
      </c>
      <c r="E123" t="inlineStr">
        <is>
          <t>-</t>
        </is>
      </c>
    </row>
    <row r="124">
      <c r="A124" t="inlineStr">
        <is>
          <t>2026-05-11</t>
        </is>
      </c>
      <c r="B124" t="inlineStr">
        <is>
          <t>Mon</t>
        </is>
      </c>
      <c r="C124" t="inlineStr">
        <is>
          <t>Alyssa</t>
        </is>
      </c>
      <c r="D124" t="inlineStr">
        <is>
          <t>4pm-12am</t>
        </is>
      </c>
      <c r="E124" t="inlineStr">
        <is>
          <t>Present</t>
        </is>
      </c>
    </row>
    <row r="125">
      <c r="A125" t="inlineStr">
        <is>
          <t>2026-05-11</t>
        </is>
      </c>
      <c r="B125" t="inlineStr">
        <is>
          <t>Mon</t>
        </is>
      </c>
      <c r="C125" t="inlineStr">
        <is>
          <t>John Manuel</t>
        </is>
      </c>
      <c r="D125" t="inlineStr">
        <is>
          <t>12am-8am</t>
        </is>
      </c>
      <c r="E125" t="inlineStr">
        <is>
          <t>Present</t>
        </is>
      </c>
    </row>
    <row r="126">
      <c r="A126" t="inlineStr">
        <is>
          <t>2026-05-11</t>
        </is>
      </c>
      <c r="B126" t="inlineStr">
        <is>
          <t>Mon</t>
        </is>
      </c>
      <c r="C126" t="inlineStr">
        <is>
          <t>Micko Tanedo</t>
        </is>
      </c>
      <c r="D126" t="inlineStr">
        <is>
          <t>8am-4pm</t>
        </is>
      </c>
      <c r="E126" t="inlineStr">
        <is>
          <t>Present</t>
        </is>
      </c>
    </row>
    <row r="127">
      <c r="A127" t="inlineStr">
        <is>
          <t>2026-05-12</t>
        </is>
      </c>
      <c r="B127" t="inlineStr">
        <is>
          <t>Tue</t>
        </is>
      </c>
      <c r="C127" t="inlineStr">
        <is>
          <t>Alyssa</t>
        </is>
      </c>
      <c r="D127" t="inlineStr">
        <is>
          <t>3pm-10pm</t>
        </is>
      </c>
      <c r="E127" t="inlineStr">
        <is>
          <t>Present</t>
        </is>
      </c>
    </row>
    <row r="128">
      <c r="A128" t="inlineStr">
        <is>
          <t>2026-05-12</t>
        </is>
      </c>
      <c r="B128" t="inlineStr">
        <is>
          <t>Tue</t>
        </is>
      </c>
      <c r="C128" t="inlineStr">
        <is>
          <t>John Manuel</t>
        </is>
      </c>
      <c r="D128" t="inlineStr">
        <is>
          <t>10pm-4am</t>
        </is>
      </c>
      <c r="E128" t="inlineStr">
        <is>
          <t>Present</t>
        </is>
      </c>
    </row>
    <row r="129">
      <c r="A129" t="inlineStr">
        <is>
          <t>2026-05-12</t>
        </is>
      </c>
      <c r="B129" t="inlineStr">
        <is>
          <t>Tue</t>
        </is>
      </c>
      <c r="C129" t="inlineStr">
        <is>
          <t>Micko Tanedo</t>
        </is>
      </c>
      <c r="D129" t="inlineStr">
        <is>
          <t>8am-4pm</t>
        </is>
      </c>
      <c r="E129" t="inlineStr">
        <is>
          <t>Present</t>
        </is>
      </c>
    </row>
    <row r="130">
      <c r="A130" t="inlineStr">
        <is>
          <t>2026-05-13</t>
        </is>
      </c>
      <c r="B130" t="inlineStr">
        <is>
          <t>Wed</t>
        </is>
      </c>
      <c r="C130" t="inlineStr">
        <is>
          <t>Alyssa</t>
        </is>
      </c>
      <c r="D130" t="inlineStr">
        <is>
          <t>OFF</t>
        </is>
      </c>
      <c r="E130" t="inlineStr">
        <is>
          <t>HALFDAY</t>
        </is>
      </c>
    </row>
    <row r="131">
      <c r="A131" t="inlineStr">
        <is>
          <t>2026-05-13</t>
        </is>
      </c>
      <c r="B131" t="inlineStr">
        <is>
          <t>Wed</t>
        </is>
      </c>
      <c r="C131" t="inlineStr">
        <is>
          <t>John Manuel</t>
        </is>
      </c>
      <c r="D131" t="inlineStr">
        <is>
          <t>OFF</t>
        </is>
      </c>
      <c r="E131" t="inlineStr">
        <is>
          <t>HALFDAY</t>
        </is>
      </c>
    </row>
    <row r="132">
      <c r="A132" t="inlineStr">
        <is>
          <t>2026-05-13</t>
        </is>
      </c>
      <c r="B132" t="inlineStr">
        <is>
          <t>Wed</t>
        </is>
      </c>
      <c r="C132" t="inlineStr">
        <is>
          <t>Micko Tanedo</t>
        </is>
      </c>
      <c r="D132" t="inlineStr">
        <is>
          <t>8am-4pm</t>
        </is>
      </c>
      <c r="E132" t="inlineStr">
        <is>
          <t>Present</t>
        </is>
      </c>
    </row>
    <row r="133">
      <c r="A133" t="inlineStr">
        <is>
          <t>2026-05-14</t>
        </is>
      </c>
      <c r="B133" t="inlineStr">
        <is>
          <t>Thu</t>
        </is>
      </c>
      <c r="C133" t="inlineStr">
        <is>
          <t>Alyssa</t>
        </is>
      </c>
      <c r="D133" t="inlineStr">
        <is>
          <t>4pm-12am</t>
        </is>
      </c>
      <c r="E133" t="inlineStr">
        <is>
          <t>Present</t>
        </is>
      </c>
    </row>
    <row r="134">
      <c r="A134" t="inlineStr">
        <is>
          <t>2026-05-14</t>
        </is>
      </c>
      <c r="B134" t="inlineStr">
        <is>
          <t>Thu</t>
        </is>
      </c>
      <c r="C134" t="inlineStr">
        <is>
          <t>John Manuel</t>
        </is>
      </c>
      <c r="D134" t="inlineStr">
        <is>
          <t>12am-8am</t>
        </is>
      </c>
      <c r="E134" t="inlineStr">
        <is>
          <t>Present</t>
        </is>
      </c>
    </row>
    <row r="135">
      <c r="A135" t="inlineStr">
        <is>
          <t>2026-05-14</t>
        </is>
      </c>
      <c r="B135" t="inlineStr">
        <is>
          <t>Thu</t>
        </is>
      </c>
      <c r="C135" t="inlineStr">
        <is>
          <t>Micko Tanedo</t>
        </is>
      </c>
      <c r="D135" t="inlineStr">
        <is>
          <t>8am-4pm</t>
        </is>
      </c>
      <c r="E135" t="inlineStr">
        <is>
          <t>Present</t>
        </is>
      </c>
    </row>
    <row r="136">
      <c r="A136" t="inlineStr">
        <is>
          <t>2026-05-15</t>
        </is>
      </c>
      <c r="B136" t="inlineStr">
        <is>
          <t>Fri</t>
        </is>
      </c>
      <c r="C136" t="inlineStr">
        <is>
          <t>Alyssa</t>
        </is>
      </c>
      <c r="D136" t="inlineStr">
        <is>
          <t>4pm-12am</t>
        </is>
      </c>
      <c r="E136" t="inlineStr">
        <is>
          <t>Present</t>
        </is>
      </c>
    </row>
    <row r="137">
      <c r="A137" t="inlineStr">
        <is>
          <t>2026-05-15</t>
        </is>
      </c>
      <c r="B137" t="inlineStr">
        <is>
          <t>Fri</t>
        </is>
      </c>
      <c r="C137" t="inlineStr">
        <is>
          <t>John Manuel</t>
        </is>
      </c>
      <c r="D137" t="inlineStr">
        <is>
          <t>12am-8am</t>
        </is>
      </c>
      <c r="E137" t="inlineStr">
        <is>
          <t>Present</t>
        </is>
      </c>
    </row>
    <row r="138">
      <c r="A138" t="inlineStr">
        <is>
          <t>2026-05-15</t>
        </is>
      </c>
      <c r="B138" t="inlineStr">
        <is>
          <t>Fri</t>
        </is>
      </c>
      <c r="C138" t="inlineStr">
        <is>
          <t>Micko Tanedo</t>
        </is>
      </c>
      <c r="D138" t="inlineStr">
        <is>
          <t>8am-4pm</t>
        </is>
      </c>
      <c r="E138" t="inlineStr">
        <is>
          <t>Present</t>
        </is>
      </c>
    </row>
    <row r="139">
      <c r="A139" t="inlineStr">
        <is>
          <t>2026-05-16</t>
        </is>
      </c>
      <c r="B139" t="inlineStr">
        <is>
          <t>Sat</t>
        </is>
      </c>
      <c r="C139" t="inlineStr">
        <is>
          <t>Alyssa</t>
        </is>
      </c>
      <c r="D139" t="inlineStr">
        <is>
          <t>4pm-12am</t>
        </is>
      </c>
      <c r="E139" t="inlineStr">
        <is>
          <t>Present</t>
        </is>
      </c>
    </row>
    <row r="140">
      <c r="A140" t="inlineStr">
        <is>
          <t>2026-05-16</t>
        </is>
      </c>
      <c r="B140" t="inlineStr">
        <is>
          <t>Sat</t>
        </is>
      </c>
      <c r="C140" t="inlineStr">
        <is>
          <t>John Manuel</t>
        </is>
      </c>
      <c r="D140" t="inlineStr">
        <is>
          <t>OFF</t>
        </is>
      </c>
      <c r="E140" t="inlineStr">
        <is>
          <t>HALFDAY</t>
        </is>
      </c>
    </row>
    <row r="141">
      <c r="A141" t="inlineStr">
        <is>
          <t>2026-05-16</t>
        </is>
      </c>
      <c r="B141" t="inlineStr">
        <is>
          <t>Sat</t>
        </is>
      </c>
      <c r="C141" t="inlineStr">
        <is>
          <t>Micko Tanedo</t>
        </is>
      </c>
      <c r="D141" t="inlineStr">
        <is>
          <t>Cancel OFF</t>
        </is>
      </c>
      <c r="E141" t="inlineStr">
        <is>
          <t>8am-4pm</t>
        </is>
      </c>
    </row>
    <row r="142">
      <c r="A142" t="inlineStr">
        <is>
          <t>2026-05-17</t>
        </is>
      </c>
      <c r="B142" t="inlineStr">
        <is>
          <t>Sun</t>
        </is>
      </c>
      <c r="C142" t="inlineStr">
        <is>
          <t>Alyssa</t>
        </is>
      </c>
      <c r="D142" t="inlineStr">
        <is>
          <t>OFF</t>
        </is>
      </c>
      <c r="E142" t="inlineStr">
        <is>
          <t>-</t>
        </is>
      </c>
    </row>
    <row r="143">
      <c r="A143" t="inlineStr">
        <is>
          <t>2026-05-17</t>
        </is>
      </c>
      <c r="B143" t="inlineStr">
        <is>
          <t>Sun</t>
        </is>
      </c>
      <c r="C143" t="inlineStr">
        <is>
          <t>John Manuel</t>
        </is>
      </c>
      <c r="D143" t="inlineStr">
        <is>
          <t>12am-8am</t>
        </is>
      </c>
      <c r="E143" t="inlineStr">
        <is>
          <t>Present</t>
        </is>
      </c>
    </row>
    <row r="144">
      <c r="A144" t="inlineStr">
        <is>
          <t>2026-05-17</t>
        </is>
      </c>
      <c r="B144" t="inlineStr">
        <is>
          <t>Sun</t>
        </is>
      </c>
      <c r="C144" t="inlineStr">
        <is>
          <t>Micko Tanedo</t>
        </is>
      </c>
      <c r="D144" t="inlineStr">
        <is>
          <t>OFF</t>
        </is>
      </c>
      <c r="E144" t="inlineStr">
        <is>
          <t>-</t>
        </is>
      </c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Alyssa</t>
        </is>
      </c>
      <c r="D145" t="inlineStr">
        <is>
          <t>4pm-12am</t>
        </is>
      </c>
      <c r="E145" t="inlineStr">
        <is>
          <t>Present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John Manuel</t>
        </is>
      </c>
      <c r="D146" t="inlineStr">
        <is>
          <t>12am-8am</t>
        </is>
      </c>
      <c r="E146" t="inlineStr">
        <is>
          <t>Present</t>
        </is>
      </c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Micko Tanedo</t>
        </is>
      </c>
      <c r="D147" t="inlineStr">
        <is>
          <t>8am-4pm</t>
        </is>
      </c>
      <c r="E147" t="inlineStr">
        <is>
          <t>Present</t>
        </is>
      </c>
    </row>
    <row r="148">
      <c r="A148" t="inlineStr">
        <is>
          <t>2026-05-19</t>
        </is>
      </c>
      <c r="B148" t="inlineStr">
        <is>
          <t>Tue</t>
        </is>
      </c>
      <c r="C148" t="inlineStr">
        <is>
          <t>Alyssa</t>
        </is>
      </c>
      <c r="D148" t="inlineStr">
        <is>
          <t>3pm-10pm</t>
        </is>
      </c>
      <c r="E148" t="inlineStr">
        <is>
          <t>Present</t>
        </is>
      </c>
    </row>
    <row r="149">
      <c r="A149" t="inlineStr">
        <is>
          <t>2026-05-19</t>
        </is>
      </c>
      <c r="B149" t="inlineStr">
        <is>
          <t>Tue</t>
        </is>
      </c>
      <c r="C149" t="inlineStr">
        <is>
          <t>John Manuel</t>
        </is>
      </c>
      <c r="D149" t="inlineStr">
        <is>
          <t>10pm-4am</t>
        </is>
      </c>
      <c r="E149" t="inlineStr">
        <is>
          <t>Present</t>
        </is>
      </c>
    </row>
    <row r="150">
      <c r="A150" t="inlineStr">
        <is>
          <t>2026-05-19</t>
        </is>
      </c>
      <c r="B150" t="inlineStr">
        <is>
          <t>Tue</t>
        </is>
      </c>
      <c r="C150" t="inlineStr">
        <is>
          <t>Micko Tanedo</t>
        </is>
      </c>
      <c r="D150" t="inlineStr">
        <is>
          <t>8am-4pm</t>
        </is>
      </c>
      <c r="E150" t="inlineStr">
        <is>
          <t>Present</t>
        </is>
      </c>
    </row>
    <row r="151">
      <c r="A151" t="inlineStr">
        <is>
          <t>2026-05-20</t>
        </is>
      </c>
      <c r="B151" t="inlineStr">
        <is>
          <t>Wed</t>
        </is>
      </c>
      <c r="C151" t="inlineStr">
        <is>
          <t>Alyssa</t>
        </is>
      </c>
      <c r="D151" t="inlineStr">
        <is>
          <t>OFF</t>
        </is>
      </c>
      <c r="E151" t="inlineStr">
        <is>
          <t>-</t>
        </is>
      </c>
    </row>
    <row r="152">
      <c r="A152" t="inlineStr">
        <is>
          <t>2026-05-20</t>
        </is>
      </c>
      <c r="B152" t="inlineStr">
        <is>
          <t>Wed</t>
        </is>
      </c>
      <c r="C152" t="inlineStr">
        <is>
          <t>John Manuel</t>
        </is>
      </c>
      <c r="D152" t="inlineStr">
        <is>
          <t>Cancel OFF</t>
        </is>
      </c>
      <c r="E152" t="inlineStr">
        <is>
          <t>Present</t>
        </is>
      </c>
    </row>
    <row r="153">
      <c r="A153" t="inlineStr">
        <is>
          <t>2026-05-20</t>
        </is>
      </c>
      <c r="B153" t="inlineStr">
        <is>
          <t>Wed</t>
        </is>
      </c>
      <c r="C153" t="inlineStr">
        <is>
          <t>Micko Tanedo</t>
        </is>
      </c>
      <c r="D153" t="inlineStr">
        <is>
          <t>8am-4pm</t>
        </is>
      </c>
      <c r="E153" t="inlineStr">
        <is>
          <t>Present</t>
        </is>
      </c>
    </row>
    <row r="154">
      <c r="A154" t="inlineStr">
        <is>
          <t>2026-05-21</t>
        </is>
      </c>
      <c r="B154" t="inlineStr">
        <is>
          <t>Thu</t>
        </is>
      </c>
      <c r="C154" t="inlineStr">
        <is>
          <t>Alyssa</t>
        </is>
      </c>
      <c r="D154" t="inlineStr">
        <is>
          <t>4pm-12am</t>
        </is>
      </c>
      <c r="E154" t="inlineStr">
        <is>
          <t>Present</t>
        </is>
      </c>
    </row>
    <row r="155">
      <c r="A155" t="inlineStr">
        <is>
          <t>2026-05-21</t>
        </is>
      </c>
      <c r="B155" t="inlineStr">
        <is>
          <t>Thu</t>
        </is>
      </c>
      <c r="C155" t="inlineStr">
        <is>
          <t>John Manuel</t>
        </is>
      </c>
      <c r="D155" t="inlineStr">
        <is>
          <t>12am-8am</t>
        </is>
      </c>
      <c r="E155" t="inlineStr">
        <is>
          <t>Present</t>
        </is>
      </c>
    </row>
    <row r="156">
      <c r="A156" t="inlineStr">
        <is>
          <t>2026-05-21</t>
        </is>
      </c>
      <c r="B156" t="inlineStr">
        <is>
          <t>Thu</t>
        </is>
      </c>
      <c r="C156" t="inlineStr">
        <is>
          <t>Micko Tanedo</t>
        </is>
      </c>
      <c r="D156" t="inlineStr">
        <is>
          <t>OFF</t>
        </is>
      </c>
      <c r="E156" t="inlineStr">
        <is>
          <t>-</t>
        </is>
      </c>
    </row>
    <row r="157">
      <c r="A157" t="inlineStr">
        <is>
          <t>2026-05-22</t>
        </is>
      </c>
      <c r="B157" t="inlineStr">
        <is>
          <t>Fri</t>
        </is>
      </c>
      <c r="C157" t="inlineStr">
        <is>
          <t>Alyssa</t>
        </is>
      </c>
      <c r="D157" t="inlineStr">
        <is>
          <t>4pm-12am</t>
        </is>
      </c>
      <c r="E157" t="inlineStr">
        <is>
          <t>Present</t>
        </is>
      </c>
    </row>
    <row r="158">
      <c r="A158" t="inlineStr">
        <is>
          <t>2026-05-22</t>
        </is>
      </c>
      <c r="B158" t="inlineStr">
        <is>
          <t>Fri</t>
        </is>
      </c>
      <c r="C158" t="inlineStr">
        <is>
          <t>John Manuel</t>
        </is>
      </c>
      <c r="D158" t="inlineStr">
        <is>
          <t>12am-8am</t>
        </is>
      </c>
      <c r="E158" t="inlineStr">
        <is>
          <t>Present</t>
        </is>
      </c>
    </row>
    <row r="159">
      <c r="A159" t="inlineStr">
        <is>
          <t>2026-05-22</t>
        </is>
      </c>
      <c r="B159" t="inlineStr">
        <is>
          <t>Fri</t>
        </is>
      </c>
      <c r="C159" t="inlineStr">
        <is>
          <t>Micko Tanedo</t>
        </is>
      </c>
      <c r="D159" t="inlineStr">
        <is>
          <t>8am-4pm</t>
        </is>
      </c>
      <c r="E159" t="inlineStr">
        <is>
          <t>Present</t>
        </is>
      </c>
    </row>
    <row r="160">
      <c r="A160" t="inlineStr">
        <is>
          <t>2026-05-23</t>
        </is>
      </c>
      <c r="B160" t="inlineStr">
        <is>
          <t>Sat</t>
        </is>
      </c>
      <c r="C160" t="inlineStr">
        <is>
          <t>Alyssa</t>
        </is>
      </c>
      <c r="D160" t="inlineStr">
        <is>
          <t>4pm-12am</t>
        </is>
      </c>
      <c r="E160" t="inlineStr">
        <is>
          <t>Present</t>
        </is>
      </c>
    </row>
    <row r="161">
      <c r="A161" t="inlineStr">
        <is>
          <t>2026-05-23</t>
        </is>
      </c>
      <c r="B161" t="inlineStr">
        <is>
          <t>Sat</t>
        </is>
      </c>
      <c r="C161" t="inlineStr">
        <is>
          <t>John Manuel</t>
        </is>
      </c>
      <c r="D161" t="inlineStr">
        <is>
          <t>CANCEL OFF</t>
        </is>
      </c>
      <c r="E161" t="inlineStr">
        <is>
          <t>Present</t>
        </is>
      </c>
    </row>
    <row r="162">
      <c r="A162" t="inlineStr">
        <is>
          <t>2026-05-23</t>
        </is>
      </c>
      <c r="B162" t="inlineStr">
        <is>
          <t>Sat</t>
        </is>
      </c>
      <c r="C162" t="inlineStr">
        <is>
          <t>Micko Tanedo</t>
        </is>
      </c>
      <c r="D162" t="inlineStr">
        <is>
          <t>8am-4pm</t>
        </is>
      </c>
      <c r="E162" t="inlineStr">
        <is>
          <t>Present</t>
        </is>
      </c>
    </row>
    <row r="163">
      <c r="A163" t="inlineStr">
        <is>
          <t>2026-05-24</t>
        </is>
      </c>
      <c r="B163" t="inlineStr">
        <is>
          <t>Sun</t>
        </is>
      </c>
      <c r="C163" t="inlineStr">
        <is>
          <t>Alyssa</t>
        </is>
      </c>
      <c r="D163" t="inlineStr">
        <is>
          <t>OFF</t>
        </is>
      </c>
      <c r="E163" t="inlineStr">
        <is>
          <t>HALFDAY</t>
        </is>
      </c>
    </row>
    <row r="164">
      <c r="A164" t="inlineStr">
        <is>
          <t>2026-05-24</t>
        </is>
      </c>
      <c r="B164" t="inlineStr">
        <is>
          <t>Sun</t>
        </is>
      </c>
      <c r="C164" t="inlineStr">
        <is>
          <t>John Manuel</t>
        </is>
      </c>
      <c r="D164" t="inlineStr">
        <is>
          <t>12am-8am</t>
        </is>
      </c>
      <c r="E164" t="inlineStr">
        <is>
          <t>Present</t>
        </is>
      </c>
    </row>
    <row r="165">
      <c r="A165" t="inlineStr">
        <is>
          <t>2026-05-24</t>
        </is>
      </c>
      <c r="B165" t="inlineStr">
        <is>
          <t>Sun</t>
        </is>
      </c>
      <c r="C165" t="inlineStr">
        <is>
          <t>Micko Tanedo</t>
        </is>
      </c>
      <c r="D165" t="inlineStr">
        <is>
          <t>OFF</t>
        </is>
      </c>
      <c r="E165" t="inlineStr">
        <is>
          <t>HALFDAY</t>
        </is>
      </c>
    </row>
    <row r="166">
      <c r="A166" t="inlineStr">
        <is>
          <t>2026-05-25</t>
        </is>
      </c>
      <c r="B166" t="inlineStr">
        <is>
          <t>Mon</t>
        </is>
      </c>
      <c r="C166" t="inlineStr">
        <is>
          <t>Alyssa</t>
        </is>
      </c>
      <c r="D166" t="inlineStr">
        <is>
          <t>4pm-12am</t>
        </is>
      </c>
      <c r="E166" t="inlineStr">
        <is>
          <t>Present</t>
        </is>
      </c>
    </row>
    <row r="167">
      <c r="A167" t="inlineStr">
        <is>
          <t>2026-05-25</t>
        </is>
      </c>
      <c r="B167" t="inlineStr">
        <is>
          <t>Mon</t>
        </is>
      </c>
      <c r="C167" t="inlineStr">
        <is>
          <t>John Manuel</t>
        </is>
      </c>
      <c r="D167" t="inlineStr">
        <is>
          <t>12am-8am</t>
        </is>
      </c>
      <c r="E167" t="inlineStr">
        <is>
          <t>Present</t>
        </is>
      </c>
    </row>
    <row r="168">
      <c r="A168" t="inlineStr">
        <is>
          <t>2026-05-25</t>
        </is>
      </c>
      <c r="B168" t="inlineStr">
        <is>
          <t>Mon</t>
        </is>
      </c>
      <c r="C168" t="inlineStr">
        <is>
          <t>Micko Tanedo</t>
        </is>
      </c>
      <c r="D168" t="inlineStr">
        <is>
          <t>8am-4pm</t>
        </is>
      </c>
      <c r="E168" t="inlineStr">
        <is>
          <t>Present</t>
        </is>
      </c>
    </row>
    <row r="169">
      <c r="A169" t="inlineStr">
        <is>
          <t>2026-05-26</t>
        </is>
      </c>
      <c r="B169" t="inlineStr">
        <is>
          <t>Tue</t>
        </is>
      </c>
      <c r="C169" t="inlineStr">
        <is>
          <t>Alyssa</t>
        </is>
      </c>
      <c r="D169" t="inlineStr">
        <is>
          <t>3pm-10pm</t>
        </is>
      </c>
      <c r="E169" t="inlineStr">
        <is>
          <t>Present</t>
        </is>
      </c>
    </row>
    <row r="170">
      <c r="A170" t="inlineStr">
        <is>
          <t>2026-05-26</t>
        </is>
      </c>
      <c r="B170" t="inlineStr">
        <is>
          <t>Tue</t>
        </is>
      </c>
      <c r="C170" t="inlineStr">
        <is>
          <t>John Manuel</t>
        </is>
      </c>
      <c r="D170" t="inlineStr">
        <is>
          <t>10pm-4am</t>
        </is>
      </c>
      <c r="E170" t="inlineStr">
        <is>
          <t>Present</t>
        </is>
      </c>
    </row>
    <row r="171">
      <c r="A171" t="inlineStr">
        <is>
          <t>2026-05-26</t>
        </is>
      </c>
      <c r="B171" t="inlineStr">
        <is>
          <t>Tue</t>
        </is>
      </c>
      <c r="C171" t="inlineStr">
        <is>
          <t>Micko Tanedo</t>
        </is>
      </c>
      <c r="D171" t="inlineStr">
        <is>
          <t>8am-4pm</t>
        </is>
      </c>
      <c r="E171" t="inlineStr">
        <is>
          <t>Present</t>
        </is>
      </c>
    </row>
    <row r="172">
      <c r="A172" t="inlineStr">
        <is>
          <t>2026-05-27</t>
        </is>
      </c>
      <c r="B172" t="inlineStr">
        <is>
          <t>Wed</t>
        </is>
      </c>
      <c r="C172" t="inlineStr">
        <is>
          <t>Alyssa</t>
        </is>
      </c>
      <c r="D172" t="inlineStr">
        <is>
          <t>OFF</t>
        </is>
      </c>
      <c r="E172" t="inlineStr">
        <is>
          <t>-</t>
        </is>
      </c>
    </row>
    <row r="173">
      <c r="A173" t="inlineStr">
        <is>
          <t>2026-05-27</t>
        </is>
      </c>
      <c r="B173" t="inlineStr">
        <is>
          <t>Wed</t>
        </is>
      </c>
      <c r="C173" t="inlineStr">
        <is>
          <t>John Manuel</t>
        </is>
      </c>
      <c r="D173" t="inlineStr">
        <is>
          <t>Cancel OFF</t>
        </is>
      </c>
      <c r="E173" t="inlineStr">
        <is>
          <t>Present</t>
        </is>
      </c>
    </row>
    <row r="174">
      <c r="A174" t="inlineStr">
        <is>
          <t>2026-05-27</t>
        </is>
      </c>
      <c r="B174" t="inlineStr">
        <is>
          <t>Wed</t>
        </is>
      </c>
      <c r="C174" t="inlineStr">
        <is>
          <t>Micko Tanedo</t>
        </is>
      </c>
      <c r="D174" t="inlineStr">
        <is>
          <t>8am-4pm</t>
        </is>
      </c>
      <c r="E174" t="inlineStr">
        <is>
          <t>Present</t>
        </is>
      </c>
    </row>
    <row r="175">
      <c r="A175" t="inlineStr">
        <is>
          <t>2026-05-28</t>
        </is>
      </c>
      <c r="B175" t="inlineStr">
        <is>
          <t>Thu</t>
        </is>
      </c>
      <c r="C175" t="inlineStr">
        <is>
          <t>Alyssa</t>
        </is>
      </c>
      <c r="D175" t="inlineStr">
        <is>
          <t>4pm-12am</t>
        </is>
      </c>
      <c r="E175" t="inlineStr">
        <is>
          <t>Present</t>
        </is>
      </c>
    </row>
    <row r="176">
      <c r="A176" t="inlineStr">
        <is>
          <t>2026-05-28</t>
        </is>
      </c>
      <c r="B176" t="inlineStr">
        <is>
          <t>Thu</t>
        </is>
      </c>
      <c r="C176" t="inlineStr">
        <is>
          <t>John Manuel</t>
        </is>
      </c>
      <c r="D176" t="inlineStr">
        <is>
          <t>12am-8am</t>
        </is>
      </c>
      <c r="E176" t="inlineStr">
        <is>
          <t>Present</t>
        </is>
      </c>
    </row>
    <row r="177">
      <c r="A177" t="inlineStr">
        <is>
          <t>2026-05-28</t>
        </is>
      </c>
      <c r="B177" t="inlineStr">
        <is>
          <t>Thu</t>
        </is>
      </c>
      <c r="C177" t="inlineStr">
        <is>
          <t>Micko Tanedo</t>
        </is>
      </c>
      <c r="D177" t="inlineStr">
        <is>
          <t>8am-4pm</t>
        </is>
      </c>
      <c r="E177" t="inlineStr">
        <is>
          <t>Present</t>
        </is>
      </c>
    </row>
    <row r="178">
      <c r="A178" t="inlineStr">
        <is>
          <t>2026-05-29</t>
        </is>
      </c>
      <c r="B178" t="inlineStr">
        <is>
          <t>Fri</t>
        </is>
      </c>
      <c r="C178" t="inlineStr">
        <is>
          <t>Alyssa</t>
        </is>
      </c>
      <c r="D178" t="inlineStr">
        <is>
          <t>4pm-12am</t>
        </is>
      </c>
      <c r="E178" t="inlineStr">
        <is>
          <t>Present</t>
        </is>
      </c>
    </row>
    <row r="179">
      <c r="A179" t="inlineStr">
        <is>
          <t>2026-05-29</t>
        </is>
      </c>
      <c r="B179" t="inlineStr">
        <is>
          <t>Fri</t>
        </is>
      </c>
      <c r="C179" t="inlineStr">
        <is>
          <t>John Manuel</t>
        </is>
      </c>
      <c r="D179" t="inlineStr">
        <is>
          <t>12am-8am</t>
        </is>
      </c>
      <c r="E179" t="inlineStr">
        <is>
          <t>Present</t>
        </is>
      </c>
    </row>
    <row r="180">
      <c r="A180" t="inlineStr">
        <is>
          <t>2026-05-29</t>
        </is>
      </c>
      <c r="B180" t="inlineStr">
        <is>
          <t>Fri</t>
        </is>
      </c>
      <c r="C180" t="inlineStr">
        <is>
          <t>Micko Tanedo</t>
        </is>
      </c>
      <c r="D180" t="inlineStr">
        <is>
          <t>OFF</t>
        </is>
      </c>
      <c r="E180" t="inlineStr">
        <is>
          <t>-</t>
        </is>
      </c>
    </row>
    <row r="181">
      <c r="A181" t="inlineStr">
        <is>
          <t>2026-05-30</t>
        </is>
      </c>
      <c r="B181" t="inlineStr">
        <is>
          <t>Sat</t>
        </is>
      </c>
      <c r="C181" t="inlineStr">
        <is>
          <t>Alyssa</t>
        </is>
      </c>
      <c r="D181" t="inlineStr">
        <is>
          <t>4pm-12am</t>
        </is>
      </c>
      <c r="E181" t="inlineStr">
        <is>
          <t>Present</t>
        </is>
      </c>
    </row>
    <row r="182">
      <c r="A182" t="inlineStr">
        <is>
          <t>2026-05-30</t>
        </is>
      </c>
      <c r="B182" t="inlineStr">
        <is>
          <t>Sat</t>
        </is>
      </c>
      <c r="C182" t="inlineStr">
        <is>
          <t>John Manuel</t>
        </is>
      </c>
      <c r="D182" t="inlineStr">
        <is>
          <t>CANCEL OFF</t>
        </is>
      </c>
      <c r="E182" t="inlineStr">
        <is>
          <t>Present</t>
        </is>
      </c>
    </row>
    <row r="183">
      <c r="A183" t="inlineStr">
        <is>
          <t>2026-05-30</t>
        </is>
      </c>
      <c r="B183" t="inlineStr">
        <is>
          <t>Sat</t>
        </is>
      </c>
      <c r="C183" t="inlineStr">
        <is>
          <t>Micko Tanedo</t>
        </is>
      </c>
      <c r="D183" t="inlineStr">
        <is>
          <t>8am-4pm</t>
        </is>
      </c>
      <c r="E183" t="inlineStr">
        <is>
          <t>Present</t>
        </is>
      </c>
    </row>
    <row r="184">
      <c r="A184" t="inlineStr">
        <is>
          <t>2026-05-31</t>
        </is>
      </c>
      <c r="B184" t="inlineStr">
        <is>
          <t>Sun</t>
        </is>
      </c>
      <c r="C184" t="inlineStr">
        <is>
          <t>Alyssa</t>
        </is>
      </c>
      <c r="D184" t="inlineStr">
        <is>
          <t>4pm-12am</t>
        </is>
      </c>
      <c r="E184" t="inlineStr">
        <is>
          <t>Present</t>
        </is>
      </c>
    </row>
    <row r="185">
      <c r="A185" t="inlineStr">
        <is>
          <t>2026-05-31</t>
        </is>
      </c>
      <c r="B185" t="inlineStr">
        <is>
          <t>Sun</t>
        </is>
      </c>
      <c r="C185" t="inlineStr">
        <is>
          <t>John Manuel</t>
        </is>
      </c>
      <c r="D185" t="inlineStr">
        <is>
          <t>12am-8am</t>
        </is>
      </c>
      <c r="E185" t="inlineStr">
        <is>
          <t>Present</t>
        </is>
      </c>
    </row>
    <row r="186">
      <c r="A186" t="inlineStr">
        <is>
          <t>2026-05-31</t>
        </is>
      </c>
      <c r="B186" t="inlineStr">
        <is>
          <t>Sun</t>
        </is>
      </c>
      <c r="C186" t="inlineStr">
        <is>
          <t>Micko Tanedo</t>
        </is>
      </c>
      <c r="D186" t="inlineStr">
        <is>
          <t>OFF</t>
        </is>
      </c>
      <c r="E186" t="inlineStr">
        <is>
          <t>HALFDAY</t>
        </is>
      </c>
    </row>
    <row r="187">
      <c r="A187" t="inlineStr">
        <is>
          <t>2026-06-01</t>
        </is>
      </c>
      <c r="B187" t="inlineStr">
        <is>
          <t>Mon</t>
        </is>
      </c>
      <c r="C187" t="inlineStr">
        <is>
          <t>Alyssa</t>
        </is>
      </c>
      <c r="D187" t="inlineStr">
        <is>
          <t>OFF</t>
        </is>
      </c>
      <c r="E187" t="inlineStr">
        <is>
          <t>-</t>
        </is>
      </c>
    </row>
    <row r="188">
      <c r="A188" t="inlineStr">
        <is>
          <t>2026-06-01</t>
        </is>
      </c>
      <c r="B188" t="inlineStr">
        <is>
          <t>Mon</t>
        </is>
      </c>
      <c r="C188" t="inlineStr">
        <is>
          <t>John Manuel</t>
        </is>
      </c>
      <c r="D188" t="inlineStr">
        <is>
          <t>12am-8am</t>
        </is>
      </c>
      <c r="E188" t="inlineStr">
        <is>
          <t>Present</t>
        </is>
      </c>
    </row>
    <row r="189">
      <c r="A189" t="inlineStr">
        <is>
          <t>2026-06-01</t>
        </is>
      </c>
      <c r="B189" t="inlineStr">
        <is>
          <t>Mon</t>
        </is>
      </c>
      <c r="C189" t="inlineStr">
        <is>
          <t>Micko Tanedo</t>
        </is>
      </c>
      <c r="D189" t="inlineStr">
        <is>
          <t>8am-4pm</t>
        </is>
      </c>
      <c r="E189" t="inlineStr">
        <is>
          <t>Present</t>
        </is>
      </c>
    </row>
    <row r="190">
      <c r="A190" t="inlineStr">
        <is>
          <t>2026-06-02</t>
        </is>
      </c>
      <c r="B190" t="inlineStr">
        <is>
          <t>Tue</t>
        </is>
      </c>
      <c r="C190" t="inlineStr">
        <is>
          <t>Alyssa</t>
        </is>
      </c>
      <c r="D190" t="inlineStr">
        <is>
          <t>4pm-12am</t>
        </is>
      </c>
      <c r="E190" t="inlineStr">
        <is>
          <t>Present</t>
        </is>
      </c>
    </row>
    <row r="191">
      <c r="A191" t="inlineStr">
        <is>
          <t>2026-06-02</t>
        </is>
      </c>
      <c r="B191" t="inlineStr">
        <is>
          <t>Tue</t>
        </is>
      </c>
      <c r="C191" t="inlineStr">
        <is>
          <t>John Manuel</t>
        </is>
      </c>
      <c r="D191" t="inlineStr">
        <is>
          <t>10pm-4am</t>
        </is>
      </c>
      <c r="E191" t="inlineStr">
        <is>
          <t>Present</t>
        </is>
      </c>
    </row>
    <row r="192">
      <c r="A192" t="inlineStr">
        <is>
          <t>2026-06-02</t>
        </is>
      </c>
      <c r="B192" t="inlineStr">
        <is>
          <t>Tue</t>
        </is>
      </c>
      <c r="C192" t="inlineStr">
        <is>
          <t>Micko Tanedo</t>
        </is>
      </c>
      <c r="D192" t="inlineStr">
        <is>
          <t>8am-4pm</t>
        </is>
      </c>
      <c r="E192" t="inlineStr">
        <is>
          <t>Present</t>
        </is>
      </c>
    </row>
    <row r="193">
      <c r="A193" t="inlineStr">
        <is>
          <t>2026-06-03</t>
        </is>
      </c>
      <c r="B193" t="inlineStr">
        <is>
          <t>Wed</t>
        </is>
      </c>
      <c r="C193" t="inlineStr">
        <is>
          <t>Alyssa</t>
        </is>
      </c>
      <c r="D193" t="inlineStr">
        <is>
          <t>3pm-10pm</t>
        </is>
      </c>
      <c r="E193" t="inlineStr">
        <is>
          <t>Present</t>
        </is>
      </c>
    </row>
    <row r="194">
      <c r="A194" t="inlineStr">
        <is>
          <t>2026-06-03</t>
        </is>
      </c>
      <c r="B194" t="inlineStr">
        <is>
          <t>Wed</t>
        </is>
      </c>
      <c r="C194" t="inlineStr">
        <is>
          <t>John Manuel</t>
        </is>
      </c>
      <c r="D194" t="inlineStr">
        <is>
          <t>10pm-4am</t>
        </is>
      </c>
      <c r="E194" t="inlineStr">
        <is>
          <t>Present</t>
        </is>
      </c>
    </row>
    <row r="195">
      <c r="A195" t="inlineStr">
        <is>
          <t>2026-06-03</t>
        </is>
      </c>
      <c r="B195" t="inlineStr">
        <is>
          <t>Wed</t>
        </is>
      </c>
      <c r="C195" t="inlineStr">
        <is>
          <t>Micko Tanedo</t>
        </is>
      </c>
      <c r="D195" t="inlineStr">
        <is>
          <t>8am-4pm</t>
        </is>
      </c>
      <c r="E195" t="inlineStr">
        <is>
          <t>Present</t>
        </is>
      </c>
    </row>
    <row r="196">
      <c r="A196" t="inlineStr">
        <is>
          <t>2026-06-05</t>
        </is>
      </c>
      <c r="B196" t="inlineStr">
        <is>
          <t>Fri</t>
        </is>
      </c>
      <c r="C196" t="inlineStr">
        <is>
          <t>Alyssa</t>
        </is>
      </c>
      <c r="D196" t="inlineStr">
        <is>
          <t>4pm-12am</t>
        </is>
      </c>
      <c r="E196" t="inlineStr">
        <is>
          <t>Present</t>
        </is>
      </c>
    </row>
    <row r="197">
      <c r="A197" t="inlineStr">
        <is>
          <t>2026-06-05</t>
        </is>
      </c>
      <c r="B197" t="inlineStr">
        <is>
          <t>Fri</t>
        </is>
      </c>
      <c r="C197" t="inlineStr">
        <is>
          <t>John Manuel</t>
        </is>
      </c>
      <c r="D197" t="inlineStr">
        <is>
          <t>12am-8am</t>
        </is>
      </c>
      <c r="E197" t="inlineStr">
        <is>
          <t>Present</t>
        </is>
      </c>
    </row>
    <row r="198">
      <c r="A198" t="inlineStr">
        <is>
          <t>2026-06-05</t>
        </is>
      </c>
      <c r="B198" t="inlineStr">
        <is>
          <t>Fri</t>
        </is>
      </c>
      <c r="C198" t="inlineStr">
        <is>
          <t>Micko Tanedo</t>
        </is>
      </c>
      <c r="D198" t="inlineStr">
        <is>
          <t>8am-4pm</t>
        </is>
      </c>
      <c r="E198" t="inlineStr">
        <is>
          <t>Present</t>
        </is>
      </c>
    </row>
    <row r="199">
      <c r="A199" t="inlineStr">
        <is>
          <t>2026-06-06</t>
        </is>
      </c>
      <c r="B199" t="inlineStr">
        <is>
          <t>Sat</t>
        </is>
      </c>
      <c r="C199" t="inlineStr">
        <is>
          <t>Alyssa</t>
        </is>
      </c>
      <c r="D199" t="inlineStr">
        <is>
          <t>4pm-12am</t>
        </is>
      </c>
      <c r="E199" t="inlineStr">
        <is>
          <t>Present</t>
        </is>
      </c>
    </row>
    <row r="200">
      <c r="A200" t="inlineStr">
        <is>
          <t>2026-06-06</t>
        </is>
      </c>
      <c r="B200" t="inlineStr">
        <is>
          <t>Sat</t>
        </is>
      </c>
      <c r="C200" t="inlineStr">
        <is>
          <t>John Manuel</t>
        </is>
      </c>
      <c r="D200" t="inlineStr">
        <is>
          <t>CANCEL OFF</t>
        </is>
      </c>
      <c r="E200" t="inlineStr">
        <is>
          <t>Present</t>
        </is>
      </c>
    </row>
    <row r="201">
      <c r="A201" t="inlineStr">
        <is>
          <t>2026-06-06</t>
        </is>
      </c>
      <c r="B201" t="inlineStr">
        <is>
          <t>Sat</t>
        </is>
      </c>
      <c r="C201" t="inlineStr">
        <is>
          <t>Micko Tanedo</t>
        </is>
      </c>
      <c r="D201" t="inlineStr">
        <is>
          <t>8am-4pm</t>
        </is>
      </c>
      <c r="E201" t="inlineStr">
        <is>
          <t>Present</t>
        </is>
      </c>
    </row>
    <row r="202">
      <c r="A202" t="inlineStr">
        <is>
          <t>2026-06-07</t>
        </is>
      </c>
      <c r="B202" t="inlineStr">
        <is>
          <t>Sun</t>
        </is>
      </c>
      <c r="C202" t="inlineStr">
        <is>
          <t>Alyssa</t>
        </is>
      </c>
      <c r="D202" t="inlineStr">
        <is>
          <t>4pm-12am</t>
        </is>
      </c>
      <c r="E202" t="inlineStr">
        <is>
          <t>Present</t>
        </is>
      </c>
    </row>
    <row r="203">
      <c r="A203" t="inlineStr">
        <is>
          <t>2026-06-07</t>
        </is>
      </c>
      <c r="B203" t="inlineStr">
        <is>
          <t>Sun</t>
        </is>
      </c>
      <c r="C203" t="inlineStr">
        <is>
          <t>John Manuel</t>
        </is>
      </c>
      <c r="D203" t="inlineStr">
        <is>
          <t>12am-8am</t>
        </is>
      </c>
      <c r="E203" t="inlineStr">
        <is>
          <t>Present</t>
        </is>
      </c>
    </row>
    <row r="204">
      <c r="A204" t="inlineStr">
        <is>
          <t>2026-06-07</t>
        </is>
      </c>
      <c r="B204" t="inlineStr">
        <is>
          <t>Sun</t>
        </is>
      </c>
      <c r="C204" t="inlineStr">
        <is>
          <t>Micko Tanedo</t>
        </is>
      </c>
      <c r="D204" t="inlineStr">
        <is>
          <t>OFF</t>
        </is>
      </c>
      <c r="E204" t="inlineStr">
        <is>
          <t>-</t>
        </is>
      </c>
    </row>
    <row r="205">
      <c r="A205" t="inlineStr">
        <is>
          <t>2026-06-08</t>
        </is>
      </c>
      <c r="B205" t="inlineStr">
        <is>
          <t>Mon</t>
        </is>
      </c>
      <c r="C205" t="inlineStr">
        <is>
          <t>Alyssa</t>
        </is>
      </c>
      <c r="D205" t="inlineStr">
        <is>
          <t>OFF</t>
        </is>
      </c>
      <c r="E205" t="inlineStr">
        <is>
          <t>-</t>
        </is>
      </c>
    </row>
    <row r="206">
      <c r="A206" t="inlineStr">
        <is>
          <t>2026-06-08</t>
        </is>
      </c>
      <c r="B206" t="inlineStr">
        <is>
          <t>Mon</t>
        </is>
      </c>
      <c r="C206" t="inlineStr">
        <is>
          <t>John Manuel</t>
        </is>
      </c>
      <c r="D206" t="inlineStr">
        <is>
          <t>12am-8am</t>
        </is>
      </c>
      <c r="E206" t="inlineStr">
        <is>
          <t>Present</t>
        </is>
      </c>
    </row>
    <row r="207">
      <c r="A207" t="inlineStr">
        <is>
          <t>2026-06-08</t>
        </is>
      </c>
      <c r="B207" t="inlineStr">
        <is>
          <t>Mon</t>
        </is>
      </c>
      <c r="C207" t="inlineStr">
        <is>
          <t>Micko Tanedo</t>
        </is>
      </c>
      <c r="D207" t="inlineStr">
        <is>
          <t>8am-4pm</t>
        </is>
      </c>
      <c r="E207" t="inlineStr">
        <is>
          <t>Present</t>
        </is>
      </c>
    </row>
    <row r="208">
      <c r="A208" t="inlineStr">
        <is>
          <t>2026-06-09</t>
        </is>
      </c>
      <c r="B208" t="inlineStr">
        <is>
          <t>Tue</t>
        </is>
      </c>
      <c r="C208" t="inlineStr">
        <is>
          <t>Alyssa</t>
        </is>
      </c>
      <c r="D208" t="inlineStr">
        <is>
          <t>4pm-12am</t>
        </is>
      </c>
      <c r="E208" t="inlineStr">
        <is>
          <t>Present</t>
        </is>
      </c>
    </row>
    <row r="209">
      <c r="A209" t="inlineStr">
        <is>
          <t>2026-06-09</t>
        </is>
      </c>
      <c r="B209" t="inlineStr">
        <is>
          <t>Tue</t>
        </is>
      </c>
      <c r="C209" t="inlineStr">
        <is>
          <t>John Manuel</t>
        </is>
      </c>
      <c r="D209" t="inlineStr">
        <is>
          <t>10pm-4am</t>
        </is>
      </c>
      <c r="E209" t="inlineStr">
        <is>
          <t>Present</t>
        </is>
      </c>
    </row>
    <row r="210">
      <c r="A210" t="inlineStr">
        <is>
          <t>2026-06-09</t>
        </is>
      </c>
      <c r="B210" t="inlineStr">
        <is>
          <t>Tue</t>
        </is>
      </c>
      <c r="C210" t="inlineStr">
        <is>
          <t>Micko Tanedo</t>
        </is>
      </c>
      <c r="D210" t="inlineStr">
        <is>
          <t>8am-4pm</t>
        </is>
      </c>
      <c r="E210" t="inlineStr">
        <is>
          <t>Present</t>
        </is>
      </c>
    </row>
    <row r="211">
      <c r="A211" t="inlineStr">
        <is>
          <t>2026-06-10</t>
        </is>
      </c>
      <c r="B211" t="inlineStr">
        <is>
          <t>Wed</t>
        </is>
      </c>
      <c r="C211" t="inlineStr">
        <is>
          <t>Alyssa</t>
        </is>
      </c>
      <c r="D211" t="inlineStr">
        <is>
          <t>3pm-10pm</t>
        </is>
      </c>
      <c r="E211" t="inlineStr">
        <is>
          <t>Present</t>
        </is>
      </c>
    </row>
    <row r="212">
      <c r="A212" t="inlineStr">
        <is>
          <t>2026-06-10</t>
        </is>
      </c>
      <c r="B212" t="inlineStr">
        <is>
          <t>Wed</t>
        </is>
      </c>
      <c r="C212" t="inlineStr">
        <is>
          <t>John Manuel</t>
        </is>
      </c>
      <c r="D212" t="inlineStr">
        <is>
          <t>10pm-4am</t>
        </is>
      </c>
      <c r="E212" t="inlineStr">
        <is>
          <t>Present</t>
        </is>
      </c>
    </row>
    <row r="213">
      <c r="A213" t="inlineStr">
        <is>
          <t>2026-06-10</t>
        </is>
      </c>
      <c r="B213" t="inlineStr">
        <is>
          <t>Wed</t>
        </is>
      </c>
      <c r="C213" t="inlineStr">
        <is>
          <t>Micko Tanedo</t>
        </is>
      </c>
      <c r="D213" t="inlineStr">
        <is>
          <t>8am-4pm</t>
        </is>
      </c>
      <c r="E213" t="inlineStr">
        <is>
          <t>Present</t>
        </is>
      </c>
    </row>
    <row r="214">
      <c r="A214" t="inlineStr">
        <is>
          <t>2026-06-11</t>
        </is>
      </c>
      <c r="B214" t="inlineStr">
        <is>
          <t>Thu</t>
        </is>
      </c>
      <c r="C214" t="inlineStr">
        <is>
          <t>Alyssa</t>
        </is>
      </c>
      <c r="D214" t="inlineStr">
        <is>
          <t>OFF</t>
        </is>
      </c>
      <c r="E214" t="inlineStr">
        <is>
          <t>-</t>
        </is>
      </c>
    </row>
    <row r="215">
      <c r="A215" t="inlineStr">
        <is>
          <t>2026-06-11</t>
        </is>
      </c>
      <c r="B215" t="inlineStr">
        <is>
          <t>Thu</t>
        </is>
      </c>
      <c r="C215" t="inlineStr">
        <is>
          <t>John Manuel</t>
        </is>
      </c>
      <c r="D215" t="inlineStr">
        <is>
          <t>CANCEL OFF</t>
        </is>
      </c>
      <c r="E215" t="inlineStr">
        <is>
          <t>Present</t>
        </is>
      </c>
    </row>
    <row r="216">
      <c r="A216" t="inlineStr">
        <is>
          <t>2026-06-11</t>
        </is>
      </c>
      <c r="B216" t="inlineStr">
        <is>
          <t>Thu</t>
        </is>
      </c>
      <c r="C216" t="inlineStr">
        <is>
          <t>Micko Tanedo</t>
        </is>
      </c>
      <c r="D216" t="inlineStr">
        <is>
          <t>OFF</t>
        </is>
      </c>
      <c r="E216" t="inlineStr">
        <is>
          <t>-</t>
        </is>
      </c>
    </row>
    <row r="217">
      <c r="A217" t="inlineStr">
        <is>
          <t>2026-06-12</t>
        </is>
      </c>
      <c r="B217" t="inlineStr">
        <is>
          <t>Fri</t>
        </is>
      </c>
      <c r="C217" t="inlineStr">
        <is>
          <t>Alyssa</t>
        </is>
      </c>
      <c r="D217" t="inlineStr">
        <is>
          <t>4pm-12am</t>
        </is>
      </c>
      <c r="E217" t="inlineStr">
        <is>
          <t>Present</t>
        </is>
      </c>
    </row>
    <row r="218">
      <c r="A218" t="inlineStr">
        <is>
          <t>2026-06-12</t>
        </is>
      </c>
      <c r="B218" t="inlineStr">
        <is>
          <t>Fri</t>
        </is>
      </c>
      <c r="C218" t="inlineStr">
        <is>
          <t>John Manuel</t>
        </is>
      </c>
      <c r="D218" t="inlineStr">
        <is>
          <t>12am-8am</t>
        </is>
      </c>
      <c r="E218" t="inlineStr">
        <is>
          <t>Present</t>
        </is>
      </c>
    </row>
    <row r="219">
      <c r="A219" t="inlineStr">
        <is>
          <t>2026-06-12</t>
        </is>
      </c>
      <c r="B219" t="inlineStr">
        <is>
          <t>Fri</t>
        </is>
      </c>
      <c r="C219" t="inlineStr">
        <is>
          <t>Micko Tanedo</t>
        </is>
      </c>
      <c r="D219" t="inlineStr">
        <is>
          <t>8am-4pm</t>
        </is>
      </c>
      <c r="E219" t="inlineStr">
        <is>
          <t>Present</t>
        </is>
      </c>
    </row>
    <row r="220">
      <c r="A220" t="inlineStr">
        <is>
          <t>2026-06-13</t>
        </is>
      </c>
      <c r="B220" t="inlineStr">
        <is>
          <t>Sat</t>
        </is>
      </c>
      <c r="C220" t="inlineStr">
        <is>
          <t>Alyssa</t>
        </is>
      </c>
      <c r="D220" t="inlineStr">
        <is>
          <t>4pm-12am</t>
        </is>
      </c>
      <c r="E220" t="inlineStr">
        <is>
          <t>Present</t>
        </is>
      </c>
    </row>
    <row r="221">
      <c r="A221" t="inlineStr">
        <is>
          <t>2026-06-13</t>
        </is>
      </c>
      <c r="B221" t="inlineStr">
        <is>
          <t>Sat</t>
        </is>
      </c>
      <c r="C221" t="inlineStr">
        <is>
          <t>John Manuel</t>
        </is>
      </c>
      <c r="D221" t="inlineStr">
        <is>
          <t>CANCEL OFF</t>
        </is>
      </c>
      <c r="E221" t="inlineStr">
        <is>
          <t>Present</t>
        </is>
      </c>
    </row>
    <row r="222">
      <c r="A222" t="inlineStr">
        <is>
          <t>2026-06-13</t>
        </is>
      </c>
      <c r="B222" t="inlineStr">
        <is>
          <t>Sat</t>
        </is>
      </c>
      <c r="C222" t="inlineStr">
        <is>
          <t>Micko Tanedo</t>
        </is>
      </c>
      <c r="D222" t="inlineStr">
        <is>
          <t>8am-4pm</t>
        </is>
      </c>
      <c r="E222" t="inlineStr">
        <is>
          <t>Present</t>
        </is>
      </c>
    </row>
    <row r="223">
      <c r="A223" t="inlineStr">
        <is>
          <t>2026-06-14</t>
        </is>
      </c>
      <c r="B223" t="inlineStr">
        <is>
          <t>Sun</t>
        </is>
      </c>
      <c r="C223" t="inlineStr">
        <is>
          <t>Alyssa</t>
        </is>
      </c>
      <c r="D223" t="inlineStr">
        <is>
          <t>OFF</t>
        </is>
      </c>
      <c r="E223" t="inlineStr">
        <is>
          <t>-</t>
        </is>
      </c>
    </row>
    <row r="224">
      <c r="A224" t="inlineStr">
        <is>
          <t>2026-06-14</t>
        </is>
      </c>
      <c r="B224" t="inlineStr">
        <is>
          <t>Sun</t>
        </is>
      </c>
      <c r="C224" t="inlineStr">
        <is>
          <t>John Manuel</t>
        </is>
      </c>
      <c r="D224" t="inlineStr">
        <is>
          <t>12am-8am</t>
        </is>
      </c>
      <c r="E224" t="inlineStr">
        <is>
          <t>Present</t>
        </is>
      </c>
    </row>
    <row r="225">
      <c r="A225" t="inlineStr">
        <is>
          <t>2026-06-14</t>
        </is>
      </c>
      <c r="B225" t="inlineStr">
        <is>
          <t>Sun</t>
        </is>
      </c>
      <c r="C225" t="inlineStr">
        <is>
          <t>Micko Tanedo</t>
        </is>
      </c>
      <c r="D225" t="inlineStr">
        <is>
          <t>OFF</t>
        </is>
      </c>
      <c r="E225" t="inlineStr">
        <is>
          <t>-</t>
        </is>
      </c>
    </row>
    <row r="226">
      <c r="A226" t="inlineStr">
        <is>
          <t>2026-06-15</t>
        </is>
      </c>
      <c r="B226" t="inlineStr">
        <is>
          <t>Mon</t>
        </is>
      </c>
      <c r="C226" t="inlineStr">
        <is>
          <t>Alyssa</t>
        </is>
      </c>
      <c r="D226" t="inlineStr">
        <is>
          <t>4pm-12am</t>
        </is>
      </c>
      <c r="E226" t="inlineStr">
        <is>
          <t>Present</t>
        </is>
      </c>
    </row>
    <row r="227">
      <c r="A227" t="inlineStr">
        <is>
          <t>2026-06-15</t>
        </is>
      </c>
      <c r="B227" t="inlineStr">
        <is>
          <t>Mon</t>
        </is>
      </c>
      <c r="C227" t="inlineStr">
        <is>
          <t>John Manuel</t>
        </is>
      </c>
      <c r="D227" t="inlineStr">
        <is>
          <t>12am-8am</t>
        </is>
      </c>
      <c r="E227" t="inlineStr">
        <is>
          <t>Present</t>
        </is>
      </c>
    </row>
    <row r="228">
      <c r="A228" t="inlineStr">
        <is>
          <t>2026-06-15</t>
        </is>
      </c>
      <c r="B228" t="inlineStr">
        <is>
          <t>Mon</t>
        </is>
      </c>
      <c r="C228" t="inlineStr">
        <is>
          <t>Micko Tanedo</t>
        </is>
      </c>
      <c r="D228" t="inlineStr">
        <is>
          <t>8am-4pm</t>
        </is>
      </c>
      <c r="E228" t="inlineStr">
        <is>
          <t>Present</t>
        </is>
      </c>
    </row>
    <row r="229">
      <c r="A229" t="inlineStr">
        <is>
          <t>2026-06-16</t>
        </is>
      </c>
      <c r="B229" t="inlineStr">
        <is>
          <t>Tue</t>
        </is>
      </c>
      <c r="C229" t="inlineStr">
        <is>
          <t>Alyssa</t>
        </is>
      </c>
      <c r="D229" t="inlineStr">
        <is>
          <t>4pm-12am</t>
        </is>
      </c>
      <c r="E229" t="inlineStr">
        <is>
          <t>Present</t>
        </is>
      </c>
    </row>
    <row r="230">
      <c r="A230" t="inlineStr">
        <is>
          <t>2026-06-16</t>
        </is>
      </c>
      <c r="B230" t="inlineStr">
        <is>
          <t>Tue</t>
        </is>
      </c>
      <c r="C230" t="inlineStr">
        <is>
          <t>John Manuel</t>
        </is>
      </c>
      <c r="D230" t="inlineStr">
        <is>
          <t>10pm-4am</t>
        </is>
      </c>
      <c r="E230" t="inlineStr">
        <is>
          <t>Present</t>
        </is>
      </c>
    </row>
    <row r="231">
      <c r="A231" t="inlineStr">
        <is>
          <t>2026-06-16</t>
        </is>
      </c>
      <c r="B231" t="inlineStr">
        <is>
          <t>Tue</t>
        </is>
      </c>
      <c r="C231" t="inlineStr">
        <is>
          <t>Micko Tanedo</t>
        </is>
      </c>
      <c r="D231" t="inlineStr">
        <is>
          <t>8am-4pm</t>
        </is>
      </c>
      <c r="E231" t="inlineStr">
        <is>
          <t>Present</t>
        </is>
      </c>
    </row>
    <row r="232">
      <c r="A232" t="inlineStr">
        <is>
          <t>2026-06-17</t>
        </is>
      </c>
      <c r="B232" t="inlineStr">
        <is>
          <t>Wed</t>
        </is>
      </c>
      <c r="C232" t="inlineStr">
        <is>
          <t>Alyssa</t>
        </is>
      </c>
      <c r="D232" t="inlineStr">
        <is>
          <t>OFF</t>
        </is>
      </c>
      <c r="E232" t="inlineStr">
        <is>
          <t>-</t>
        </is>
      </c>
    </row>
    <row r="233">
      <c r="A233" t="inlineStr">
        <is>
          <t>2026-06-17</t>
        </is>
      </c>
      <c r="B233" t="inlineStr">
        <is>
          <t>Wed</t>
        </is>
      </c>
      <c r="C233" t="inlineStr">
        <is>
          <t>John Manuel</t>
        </is>
      </c>
      <c r="D233" t="inlineStr">
        <is>
          <t>12am-8am</t>
        </is>
      </c>
      <c r="E233" t="inlineStr">
        <is>
          <t>Present</t>
        </is>
      </c>
    </row>
    <row r="234">
      <c r="A234" t="inlineStr">
        <is>
          <t>2026-06-17</t>
        </is>
      </c>
      <c r="B234" t="inlineStr">
        <is>
          <t>Wed</t>
        </is>
      </c>
      <c r="C234" t="inlineStr">
        <is>
          <t>Micko Tanedo</t>
        </is>
      </c>
      <c r="D234" t="inlineStr">
        <is>
          <t>8am-4pm</t>
        </is>
      </c>
      <c r="E234" t="inlineStr">
        <is>
          <t>Present</t>
        </is>
      </c>
    </row>
    <row r="235">
      <c r="A235" t="inlineStr">
        <is>
          <t>2026-06-18</t>
        </is>
      </c>
      <c r="B235" t="inlineStr">
        <is>
          <t>Thu</t>
        </is>
      </c>
      <c r="C235" t="inlineStr">
        <is>
          <t>Alyssa</t>
        </is>
      </c>
      <c r="D235" t="inlineStr">
        <is>
          <t>4pm-12am</t>
        </is>
      </c>
      <c r="E235" t="inlineStr">
        <is>
          <t>Present</t>
        </is>
      </c>
    </row>
    <row r="236">
      <c r="A236" t="inlineStr">
        <is>
          <t>2026-06-18</t>
        </is>
      </c>
      <c r="B236" t="inlineStr">
        <is>
          <t>Thu</t>
        </is>
      </c>
      <c r="C236" t="inlineStr">
        <is>
          <t>John Manuel</t>
        </is>
      </c>
      <c r="D236" t="inlineStr">
        <is>
          <t>Cancel OFF</t>
        </is>
      </c>
      <c r="E236" t="inlineStr">
        <is>
          <t>Present</t>
        </is>
      </c>
    </row>
    <row r="237">
      <c r="A237" t="inlineStr">
        <is>
          <t>2026-06-18</t>
        </is>
      </c>
      <c r="B237" t="inlineStr">
        <is>
          <t>Thu</t>
        </is>
      </c>
      <c r="C237" t="inlineStr">
        <is>
          <t>Micko Tanedo</t>
        </is>
      </c>
      <c r="D237" t="inlineStr">
        <is>
          <t>OFF</t>
        </is>
      </c>
      <c r="E237" t="inlineStr">
        <is>
          <t>-</t>
        </is>
      </c>
    </row>
    <row r="238">
      <c r="A238" t="inlineStr">
        <is>
          <t>2026-06-19</t>
        </is>
      </c>
      <c r="B238" t="inlineStr">
        <is>
          <t>Fri</t>
        </is>
      </c>
      <c r="C238" t="inlineStr">
        <is>
          <t>Alyssa</t>
        </is>
      </c>
      <c r="D238" t="inlineStr">
        <is>
          <t>4pm-12am</t>
        </is>
      </c>
      <c r="E238" t="inlineStr">
        <is>
          <t>Present</t>
        </is>
      </c>
    </row>
    <row r="239">
      <c r="A239" t="inlineStr">
        <is>
          <t>2026-06-19</t>
        </is>
      </c>
      <c r="B239" t="inlineStr">
        <is>
          <t>Fri</t>
        </is>
      </c>
      <c r="C239" t="inlineStr">
        <is>
          <t>John Manuel</t>
        </is>
      </c>
      <c r="D239" t="inlineStr">
        <is>
          <t>12am-8am</t>
        </is>
      </c>
      <c r="E239" t="inlineStr">
        <is>
          <t>Present</t>
        </is>
      </c>
    </row>
    <row r="240">
      <c r="A240" t="inlineStr">
        <is>
          <t>2026-06-19</t>
        </is>
      </c>
      <c r="B240" t="inlineStr">
        <is>
          <t>Fri</t>
        </is>
      </c>
      <c r="C240" t="inlineStr">
        <is>
          <t>Micko Tanedo</t>
        </is>
      </c>
      <c r="D240" t="inlineStr">
        <is>
          <t>8am-4pm</t>
        </is>
      </c>
      <c r="E240" t="inlineStr">
        <is>
          <t>Present</t>
        </is>
      </c>
    </row>
    <row r="241">
      <c r="A241" t="inlineStr">
        <is>
          <t>2026-06-20</t>
        </is>
      </c>
      <c r="B241" t="inlineStr">
        <is>
          <t>Sat</t>
        </is>
      </c>
      <c r="C241" t="inlineStr">
        <is>
          <t>Alyssa</t>
        </is>
      </c>
      <c r="D241" t="inlineStr">
        <is>
          <t>4pm-12am</t>
        </is>
      </c>
      <c r="E241" t="inlineStr">
        <is>
          <t>Present</t>
        </is>
      </c>
    </row>
    <row r="242">
      <c r="A242" t="inlineStr">
        <is>
          <t>2026-06-20</t>
        </is>
      </c>
      <c r="B242" t="inlineStr">
        <is>
          <t>Sat</t>
        </is>
      </c>
      <c r="C242" t="inlineStr">
        <is>
          <t>John Manuel</t>
        </is>
      </c>
      <c r="D242" t="inlineStr">
        <is>
          <t>CANCEL OFF</t>
        </is>
      </c>
      <c r="E242" t="inlineStr">
        <is>
          <t>Present</t>
        </is>
      </c>
    </row>
    <row r="243">
      <c r="A243" t="inlineStr">
        <is>
          <t>2026-06-20</t>
        </is>
      </c>
      <c r="B243" t="inlineStr">
        <is>
          <t>Sat</t>
        </is>
      </c>
      <c r="C243" t="inlineStr">
        <is>
          <t>Micko Tanedo</t>
        </is>
      </c>
      <c r="D243" t="inlineStr">
        <is>
          <t>8am-4pm</t>
        </is>
      </c>
      <c r="E243" t="inlineStr">
        <is>
          <t>Present</t>
        </is>
      </c>
    </row>
    <row r="244">
      <c r="A244" t="inlineStr">
        <is>
          <t>2026-06-21</t>
        </is>
      </c>
      <c r="B244" t="inlineStr">
        <is>
          <t>Sun</t>
        </is>
      </c>
      <c r="C244" t="inlineStr">
        <is>
          <t>Alyssa</t>
        </is>
      </c>
      <c r="D244" t="inlineStr">
        <is>
          <t>Cancel OFF</t>
        </is>
      </c>
      <c r="E244" t="inlineStr">
        <is>
          <t>Present</t>
        </is>
      </c>
    </row>
    <row r="245">
      <c r="A245" t="inlineStr">
        <is>
          <t>2026-06-21</t>
        </is>
      </c>
      <c r="B245" t="inlineStr">
        <is>
          <t>Sun</t>
        </is>
      </c>
      <c r="C245" t="inlineStr">
        <is>
          <t>John Manuel</t>
        </is>
      </c>
      <c r="D245" t="inlineStr">
        <is>
          <t>12am-8am</t>
        </is>
      </c>
      <c r="E245" t="inlineStr">
        <is>
          <t>Present</t>
        </is>
      </c>
    </row>
    <row r="246">
      <c r="A246" t="inlineStr">
        <is>
          <t>2026-06-21</t>
        </is>
      </c>
      <c r="B246" t="inlineStr">
        <is>
          <t>Sun</t>
        </is>
      </c>
      <c r="C246" t="inlineStr">
        <is>
          <t>Micko Tanedo</t>
        </is>
      </c>
      <c r="D246" t="inlineStr">
        <is>
          <t>Cancel OFF</t>
        </is>
      </c>
      <c r="E246" t="inlineStr">
        <is>
          <t>Present</t>
        </is>
      </c>
    </row>
    <row r="247">
      <c r="A247" t="inlineStr">
        <is>
          <t>2026-06-22</t>
        </is>
      </c>
      <c r="B247" t="inlineStr">
        <is>
          <t>Mon</t>
        </is>
      </c>
      <c r="C247" t="inlineStr">
        <is>
          <t>Alyssa</t>
        </is>
      </c>
      <c r="D247" t="inlineStr">
        <is>
          <t>4pm-12am</t>
        </is>
      </c>
      <c r="E247" t="inlineStr">
        <is>
          <t>Present</t>
        </is>
      </c>
    </row>
    <row r="248">
      <c r="A248" t="inlineStr">
        <is>
          <t>2026-06-22</t>
        </is>
      </c>
      <c r="B248" t="inlineStr">
        <is>
          <t>Mon</t>
        </is>
      </c>
      <c r="C248" t="inlineStr">
        <is>
          <t>John Manuel</t>
        </is>
      </c>
      <c r="D248" t="inlineStr">
        <is>
          <t>12am-8am</t>
        </is>
      </c>
      <c r="E248" t="inlineStr">
        <is>
          <t>Present</t>
        </is>
      </c>
    </row>
    <row r="249">
      <c r="A249" t="inlineStr">
        <is>
          <t>2026-06-22</t>
        </is>
      </c>
      <c r="B249" t="inlineStr">
        <is>
          <t>Mon</t>
        </is>
      </c>
      <c r="C249" t="inlineStr">
        <is>
          <t>Micko Tanedo</t>
        </is>
      </c>
      <c r="D249" t="inlineStr">
        <is>
          <t>8am-4pm</t>
        </is>
      </c>
      <c r="E249" t="inlineStr">
        <is>
          <t>Present</t>
        </is>
      </c>
    </row>
    <row r="250">
      <c r="A250" t="inlineStr">
        <is>
          <t>2026-06-23</t>
        </is>
      </c>
      <c r="B250" t="inlineStr">
        <is>
          <t>Tue</t>
        </is>
      </c>
      <c r="C250" t="inlineStr">
        <is>
          <t>Alyssa</t>
        </is>
      </c>
      <c r="D250" t="inlineStr">
        <is>
          <t>4pm-12am</t>
        </is>
      </c>
      <c r="E250" t="inlineStr">
        <is>
          <t>Present</t>
        </is>
      </c>
    </row>
    <row r="251">
      <c r="A251" t="inlineStr">
        <is>
          <t>2026-06-23</t>
        </is>
      </c>
      <c r="B251" t="inlineStr">
        <is>
          <t>Tue</t>
        </is>
      </c>
      <c r="C251" t="inlineStr">
        <is>
          <t>John Manuel</t>
        </is>
      </c>
      <c r="D251" t="inlineStr">
        <is>
          <t>10pm-4am</t>
        </is>
      </c>
      <c r="E251" t="inlineStr">
        <is>
          <t>Present</t>
        </is>
      </c>
    </row>
    <row r="252">
      <c r="A252" t="inlineStr">
        <is>
          <t>2026-06-23</t>
        </is>
      </c>
      <c r="B252" t="inlineStr">
        <is>
          <t>Tue</t>
        </is>
      </c>
      <c r="C252" t="inlineStr">
        <is>
          <t>Micko Tanedo</t>
        </is>
      </c>
      <c r="D252" t="inlineStr">
        <is>
          <t>8am-4pm</t>
        </is>
      </c>
      <c r="E252" t="inlineStr">
        <is>
          <t>Present</t>
        </is>
      </c>
    </row>
    <row r="253">
      <c r="A253" t="inlineStr">
        <is>
          <t>2026-06-24</t>
        </is>
      </c>
      <c r="B253" t="inlineStr">
        <is>
          <t>Wed</t>
        </is>
      </c>
      <c r="C253" t="inlineStr">
        <is>
          <t>Alyssa</t>
        </is>
      </c>
      <c r="D253" t="inlineStr">
        <is>
          <t>4pm-12am</t>
        </is>
      </c>
      <c r="E253" t="inlineStr">
        <is>
          <t>Present</t>
        </is>
      </c>
    </row>
    <row r="254">
      <c r="A254" t="inlineStr">
        <is>
          <t>2026-06-24</t>
        </is>
      </c>
      <c r="B254" t="inlineStr">
        <is>
          <t>Wed</t>
        </is>
      </c>
      <c r="C254" t="inlineStr">
        <is>
          <t>John Manuel</t>
        </is>
      </c>
      <c r="D254" t="inlineStr">
        <is>
          <t>12am-8am</t>
        </is>
      </c>
      <c r="E254" t="inlineStr">
        <is>
          <t>Present</t>
        </is>
      </c>
    </row>
    <row r="255">
      <c r="A255" t="inlineStr">
        <is>
          <t>2026-06-24</t>
        </is>
      </c>
      <c r="B255" t="inlineStr">
        <is>
          <t>Wed</t>
        </is>
      </c>
      <c r="C255" t="inlineStr">
        <is>
          <t>Micko Tanedo</t>
        </is>
      </c>
      <c r="D255" t="inlineStr">
        <is>
          <t>OFF</t>
        </is>
      </c>
      <c r="E255" t="inlineStr">
        <is>
          <t>-</t>
        </is>
      </c>
    </row>
    <row r="256">
      <c r="A256" t="inlineStr">
        <is>
          <t>2026-06-25</t>
        </is>
      </c>
      <c r="B256" t="inlineStr">
        <is>
          <t>Thu</t>
        </is>
      </c>
      <c r="C256" t="inlineStr">
        <is>
          <t>Alyssa</t>
        </is>
      </c>
      <c r="D256" t="inlineStr">
        <is>
          <t>CANCEL OFF</t>
        </is>
      </c>
      <c r="E256" t="inlineStr">
        <is>
          <t>Present</t>
        </is>
      </c>
    </row>
    <row r="257">
      <c r="A257" t="inlineStr">
        <is>
          <t>2026-06-25</t>
        </is>
      </c>
      <c r="B257" t="inlineStr">
        <is>
          <t>Thu</t>
        </is>
      </c>
      <c r="C257" t="inlineStr">
        <is>
          <t>John Manuel</t>
        </is>
      </c>
      <c r="D257" t="inlineStr">
        <is>
          <t>CANCEL OFF</t>
        </is>
      </c>
      <c r="E257" t="inlineStr">
        <is>
          <t>Present</t>
        </is>
      </c>
    </row>
    <row r="258">
      <c r="A258" t="inlineStr">
        <is>
          <t>2026-06-25</t>
        </is>
      </c>
      <c r="B258" t="inlineStr">
        <is>
          <t>Thu</t>
        </is>
      </c>
      <c r="C258" t="inlineStr">
        <is>
          <t>Micko Tanedo</t>
        </is>
      </c>
      <c r="D258" t="inlineStr">
        <is>
          <t>8am-4pm</t>
        </is>
      </c>
      <c r="E258" t="inlineStr">
        <is>
          <t>Present</t>
        </is>
      </c>
    </row>
    <row r="259">
      <c r="A259" t="inlineStr">
        <is>
          <t>2026-06-26</t>
        </is>
      </c>
      <c r="B259" t="inlineStr">
        <is>
          <t>Fri</t>
        </is>
      </c>
      <c r="C259" t="inlineStr">
        <is>
          <t>Alyssa</t>
        </is>
      </c>
      <c r="D259" t="inlineStr">
        <is>
          <t>4pm-12am</t>
        </is>
      </c>
      <c r="E259" t="inlineStr">
        <is>
          <t>Present</t>
        </is>
      </c>
    </row>
    <row r="260">
      <c r="A260" t="inlineStr">
        <is>
          <t>2026-06-26</t>
        </is>
      </c>
      <c r="B260" t="inlineStr">
        <is>
          <t>Fri</t>
        </is>
      </c>
      <c r="C260" t="inlineStr">
        <is>
          <t>John Manuel</t>
        </is>
      </c>
      <c r="D260" t="inlineStr">
        <is>
          <t>12am-8am</t>
        </is>
      </c>
      <c r="E260" t="inlineStr">
        <is>
          <t>Present</t>
        </is>
      </c>
    </row>
    <row r="261">
      <c r="A261" t="inlineStr">
        <is>
          <t>2026-06-26</t>
        </is>
      </c>
      <c r="B261" t="inlineStr">
        <is>
          <t>Fri</t>
        </is>
      </c>
      <c r="C261" t="inlineStr">
        <is>
          <t>Micko Tanedo</t>
        </is>
      </c>
      <c r="D261" t="inlineStr">
        <is>
          <t>8am-4pm</t>
        </is>
      </c>
      <c r="E261" t="inlineStr">
        <is>
          <t>Present</t>
        </is>
      </c>
    </row>
    <row r="262">
      <c r="A262" t="inlineStr">
        <is>
          <t>2026-06-27</t>
        </is>
      </c>
      <c r="B262" t="inlineStr">
        <is>
          <t>Sat</t>
        </is>
      </c>
      <c r="C262" t="inlineStr">
        <is>
          <t>Alyssa</t>
        </is>
      </c>
      <c r="D262" t="inlineStr">
        <is>
          <t>4pm-12am</t>
        </is>
      </c>
      <c r="E262" t="inlineStr">
        <is>
          <t>Present</t>
        </is>
      </c>
    </row>
    <row r="263">
      <c r="A263" t="inlineStr">
        <is>
          <t>2026-06-27</t>
        </is>
      </c>
      <c r="B263" t="inlineStr">
        <is>
          <t>Sat</t>
        </is>
      </c>
      <c r="C263" t="inlineStr">
        <is>
          <t>John Manuel</t>
        </is>
      </c>
      <c r="D263" t="inlineStr">
        <is>
          <t>CANCEL OFF</t>
        </is>
      </c>
      <c r="E263" t="inlineStr">
        <is>
          <t>Present</t>
        </is>
      </c>
    </row>
    <row r="264">
      <c r="A264" t="inlineStr">
        <is>
          <t>2026-06-27</t>
        </is>
      </c>
      <c r="B264" t="inlineStr">
        <is>
          <t>Sat</t>
        </is>
      </c>
      <c r="C264" t="inlineStr">
        <is>
          <t>Micko Tanedo</t>
        </is>
      </c>
      <c r="D264" t="inlineStr">
        <is>
          <t>8am-4pm</t>
        </is>
      </c>
      <c r="E264" t="inlineStr">
        <is>
          <t>Present</t>
        </is>
      </c>
    </row>
    <row r="265">
      <c r="A265" t="inlineStr">
        <is>
          <t>2026-06-28</t>
        </is>
      </c>
      <c r="B265" t="inlineStr">
        <is>
          <t>Sun</t>
        </is>
      </c>
      <c r="C265" t="inlineStr">
        <is>
          <t>Alyssa</t>
        </is>
      </c>
      <c r="D265" t="inlineStr">
        <is>
          <t>OFF</t>
        </is>
      </c>
      <c r="E265" t="inlineStr">
        <is>
          <t>-</t>
        </is>
      </c>
    </row>
    <row r="266">
      <c r="A266" t="inlineStr">
        <is>
          <t>2026-06-28</t>
        </is>
      </c>
      <c r="B266" t="inlineStr">
        <is>
          <t>Sun</t>
        </is>
      </c>
      <c r="C266" t="inlineStr">
        <is>
          <t>John Manuel</t>
        </is>
      </c>
      <c r="D266" t="inlineStr">
        <is>
          <t>12am-8am</t>
        </is>
      </c>
      <c r="E266" t="inlineStr">
        <is>
          <t>Present</t>
        </is>
      </c>
    </row>
    <row r="267">
      <c r="A267" t="inlineStr">
        <is>
          <t>2026-06-28</t>
        </is>
      </c>
      <c r="B267" t="inlineStr">
        <is>
          <t>Sun</t>
        </is>
      </c>
      <c r="C267" t="inlineStr">
        <is>
          <t>Micko Tanedo</t>
        </is>
      </c>
      <c r="D267" t="inlineStr">
        <is>
          <t>OFF</t>
        </is>
      </c>
      <c r="E267" t="inlineStr">
        <is>
          <t>-</t>
        </is>
      </c>
    </row>
    <row r="268">
      <c r="A268" t="inlineStr">
        <is>
          <t>2026-06-29</t>
        </is>
      </c>
      <c r="B268" t="inlineStr">
        <is>
          <t>Mon</t>
        </is>
      </c>
      <c r="C268" t="inlineStr">
        <is>
          <t>Alyssa</t>
        </is>
      </c>
      <c r="D268" t="inlineStr">
        <is>
          <t>4pm-12am</t>
        </is>
      </c>
      <c r="E268" t="inlineStr">
        <is>
          <t>Present</t>
        </is>
      </c>
    </row>
    <row r="269">
      <c r="A269" t="inlineStr">
        <is>
          <t>2026-06-29</t>
        </is>
      </c>
      <c r="B269" t="inlineStr">
        <is>
          <t>Mon</t>
        </is>
      </c>
      <c r="C269" t="inlineStr">
        <is>
          <t>John Manuel</t>
        </is>
      </c>
      <c r="D269" t="inlineStr">
        <is>
          <t>12am-8am</t>
        </is>
      </c>
      <c r="E269" t="inlineStr">
        <is>
          <t>Present</t>
        </is>
      </c>
    </row>
    <row r="270">
      <c r="A270" t="inlineStr">
        <is>
          <t>2026-06-29</t>
        </is>
      </c>
      <c r="B270" t="inlineStr">
        <is>
          <t>Mon</t>
        </is>
      </c>
      <c r="C270" t="inlineStr">
        <is>
          <t>Micko Tanedo</t>
        </is>
      </c>
      <c r="D270" t="inlineStr">
        <is>
          <t>8am-4pm</t>
        </is>
      </c>
      <c r="E270" t="inlineStr">
        <is>
          <t>Present</t>
        </is>
      </c>
    </row>
    <row r="271">
      <c r="A271" t="inlineStr">
        <is>
          <t>2026-06-30</t>
        </is>
      </c>
      <c r="B271" t="inlineStr">
        <is>
          <t>Tue</t>
        </is>
      </c>
      <c r="C271" t="inlineStr">
        <is>
          <t>Alyssa</t>
        </is>
      </c>
      <c r="D271" t="inlineStr">
        <is>
          <t>3pm-10pm</t>
        </is>
      </c>
      <c r="E271" t="inlineStr">
        <is>
          <t>Present</t>
        </is>
      </c>
    </row>
    <row r="272">
      <c r="A272" t="inlineStr">
        <is>
          <t>2026-06-30</t>
        </is>
      </c>
      <c r="B272" t="inlineStr">
        <is>
          <t>Tue</t>
        </is>
      </c>
      <c r="C272" t="inlineStr">
        <is>
          <t>John Manuel</t>
        </is>
      </c>
      <c r="D272" t="inlineStr">
        <is>
          <t>10pm-4am</t>
        </is>
      </c>
      <c r="E272" t="inlineStr">
        <is>
          <t>Present</t>
        </is>
      </c>
    </row>
    <row r="273">
      <c r="A273" t="inlineStr">
        <is>
          <t>2026-06-30</t>
        </is>
      </c>
      <c r="B273" t="inlineStr">
        <is>
          <t>Tue</t>
        </is>
      </c>
      <c r="C273" t="inlineStr">
        <is>
          <t>Micko Tanedo</t>
        </is>
      </c>
      <c r="D273" t="inlineStr">
        <is>
          <t>8am-4pm</t>
        </is>
      </c>
      <c r="E273" t="inlineStr">
        <is>
          <t>Present</t>
        </is>
      </c>
    </row>
    <row r="274">
      <c r="A274" t="inlineStr">
        <is>
          <t>2026-07-01</t>
        </is>
      </c>
      <c r="B274" t="inlineStr">
        <is>
          <t>Wed</t>
        </is>
      </c>
      <c r="C274" t="inlineStr">
        <is>
          <t>Alyssa</t>
        </is>
      </c>
      <c r="D274" t="inlineStr">
        <is>
          <t>Cancel OFF</t>
        </is>
      </c>
      <c r="E274" t="inlineStr">
        <is>
          <t>Present</t>
        </is>
      </c>
    </row>
    <row r="275">
      <c r="A275" t="inlineStr">
        <is>
          <t>2026-07-01</t>
        </is>
      </c>
      <c r="B275" t="inlineStr">
        <is>
          <t>Wed</t>
        </is>
      </c>
      <c r="C275" t="inlineStr">
        <is>
          <t>John Manuel</t>
        </is>
      </c>
      <c r="D275" t="inlineStr">
        <is>
          <t>10pm-8am</t>
        </is>
      </c>
      <c r="E275" t="inlineStr">
        <is>
          <t>Present</t>
        </is>
      </c>
    </row>
    <row r="276">
      <c r="A276" t="inlineStr">
        <is>
          <t>2026-07-01</t>
        </is>
      </c>
      <c r="B276" t="inlineStr">
        <is>
          <t>Wed</t>
        </is>
      </c>
      <c r="C276" t="inlineStr">
        <is>
          <t>Micko Tanedo</t>
        </is>
      </c>
      <c r="D276" t="inlineStr">
        <is>
          <t>Cancel OFF</t>
        </is>
      </c>
      <c r="E276" t="inlineStr">
        <is>
          <t>Present</t>
        </is>
      </c>
    </row>
    <row r="277">
      <c r="A277" t="inlineStr">
        <is>
          <t>2026-07-02</t>
        </is>
      </c>
      <c r="B277" t="inlineStr">
        <is>
          <t>Thu</t>
        </is>
      </c>
      <c r="C277" t="inlineStr">
        <is>
          <t>Alyssa</t>
        </is>
      </c>
      <c r="D277" t="inlineStr">
        <is>
          <t>4pm-12am</t>
        </is>
      </c>
      <c r="E277" t="inlineStr">
        <is>
          <t>Present</t>
        </is>
      </c>
    </row>
    <row r="278">
      <c r="A278" t="inlineStr">
        <is>
          <t>2026-07-02</t>
        </is>
      </c>
      <c r="B278" t="inlineStr">
        <is>
          <t>Thu</t>
        </is>
      </c>
      <c r="C278" t="inlineStr">
        <is>
          <t>John Manuel</t>
        </is>
      </c>
      <c r="D278" t="inlineStr">
        <is>
          <t>CANCEL OFF</t>
        </is>
      </c>
      <c r="E278" t="inlineStr">
        <is>
          <t>Present</t>
        </is>
      </c>
    </row>
    <row r="279">
      <c r="A279" t="inlineStr">
        <is>
          <t>2026-07-02</t>
        </is>
      </c>
      <c r="B279" t="inlineStr">
        <is>
          <t>Thu</t>
        </is>
      </c>
      <c r="C279" t="inlineStr">
        <is>
          <t>Micko Tanedo</t>
        </is>
      </c>
      <c r="D279" t="inlineStr">
        <is>
          <t>8am-4pm</t>
        </is>
      </c>
      <c r="E279" t="inlineStr">
        <is>
          <t>Present</t>
        </is>
      </c>
    </row>
    <row r="280">
      <c r="A280" t="inlineStr">
        <is>
          <t>2026-07-03</t>
        </is>
      </c>
      <c r="B280" t="inlineStr">
        <is>
          <t>Fri</t>
        </is>
      </c>
      <c r="C280" t="inlineStr">
        <is>
          <t>Alyssa</t>
        </is>
      </c>
      <c r="D280" t="inlineStr">
        <is>
          <t>4pm-12am</t>
        </is>
      </c>
      <c r="E280" t="inlineStr">
        <is>
          <t>Present</t>
        </is>
      </c>
    </row>
    <row r="281">
      <c r="A281" t="inlineStr">
        <is>
          <t>2026-07-03</t>
        </is>
      </c>
      <c r="B281" t="inlineStr">
        <is>
          <t>Fri</t>
        </is>
      </c>
      <c r="C281" t="inlineStr">
        <is>
          <t>John Manuel</t>
        </is>
      </c>
      <c r="D281" t="inlineStr">
        <is>
          <t>12am-8am</t>
        </is>
      </c>
      <c r="E281" t="inlineStr">
        <is>
          <t>Present</t>
        </is>
      </c>
    </row>
    <row r="282">
      <c r="A282" t="inlineStr">
        <is>
          <t>2026-07-03</t>
        </is>
      </c>
      <c r="B282" t="inlineStr">
        <is>
          <t>Fri</t>
        </is>
      </c>
      <c r="C282" t="inlineStr">
        <is>
          <t>Micko Tanedo</t>
        </is>
      </c>
      <c r="D282" t="inlineStr">
        <is>
          <t>8am-4pm</t>
        </is>
      </c>
      <c r="E282" t="inlineStr">
        <is>
          <t>Present</t>
        </is>
      </c>
    </row>
    <row r="283">
      <c r="A283" t="inlineStr">
        <is>
          <t>2026-07-04</t>
        </is>
      </c>
      <c r="B283" t="inlineStr">
        <is>
          <t>Sat</t>
        </is>
      </c>
      <c r="C283" t="inlineStr">
        <is>
          <t>Alyssa</t>
        </is>
      </c>
      <c r="D283" t="inlineStr">
        <is>
          <t>4pm-12am</t>
        </is>
      </c>
      <c r="E283" t="inlineStr">
        <is>
          <t>Present</t>
        </is>
      </c>
    </row>
    <row r="284">
      <c r="A284" t="inlineStr">
        <is>
          <t>2026-07-04</t>
        </is>
      </c>
      <c r="B284" t="inlineStr">
        <is>
          <t>Thu</t>
        </is>
      </c>
      <c r="C284" t="inlineStr">
        <is>
          <t>Alyssa</t>
        </is>
      </c>
      <c r="D284" t="inlineStr">
        <is>
          <t>OFF</t>
        </is>
      </c>
      <c r="E284" t="inlineStr">
        <is>
          <t>-</t>
        </is>
      </c>
    </row>
    <row r="285">
      <c r="A285" t="inlineStr">
        <is>
          <t>2026-07-04</t>
        </is>
      </c>
      <c r="B285" t="inlineStr">
        <is>
          <t>Sat</t>
        </is>
      </c>
      <c r="C285" t="inlineStr">
        <is>
          <t>John Manuel</t>
        </is>
      </c>
      <c r="D285" t="inlineStr">
        <is>
          <t>CANCEL OFF</t>
        </is>
      </c>
      <c r="E285" t="inlineStr">
        <is>
          <t>Present</t>
        </is>
      </c>
    </row>
    <row r="286">
      <c r="A286" t="inlineStr">
        <is>
          <t>2026-07-04</t>
        </is>
      </c>
      <c r="B286" t="inlineStr">
        <is>
          <t>Thu</t>
        </is>
      </c>
      <c r="C286" t="inlineStr">
        <is>
          <t>John Manuel</t>
        </is>
      </c>
      <c r="D286" t="inlineStr">
        <is>
          <t>CANCEL OFF</t>
        </is>
      </c>
      <c r="E286" t="inlineStr">
        <is>
          <t>Present</t>
        </is>
      </c>
    </row>
    <row r="287">
      <c r="A287" t="inlineStr">
        <is>
          <t>2026-07-04</t>
        </is>
      </c>
      <c r="B287" t="inlineStr">
        <is>
          <t>Sat</t>
        </is>
      </c>
      <c r="C287" t="inlineStr">
        <is>
          <t>Micko Tanedo</t>
        </is>
      </c>
      <c r="D287" t="inlineStr">
        <is>
          <t>8am-4pm</t>
        </is>
      </c>
      <c r="E287" t="inlineStr">
        <is>
          <t>Present</t>
        </is>
      </c>
    </row>
    <row r="288">
      <c r="A288" t="inlineStr">
        <is>
          <t>2026-07-04</t>
        </is>
      </c>
      <c r="B288" t="inlineStr">
        <is>
          <t>Thu</t>
        </is>
      </c>
      <c r="C288" t="inlineStr">
        <is>
          <t>Micko Tanedo</t>
        </is>
      </c>
      <c r="D288" t="inlineStr">
        <is>
          <t>CANCEL OFF</t>
        </is>
      </c>
      <c r="E288" t="inlineStr">
        <is>
          <t>Present</t>
        </is>
      </c>
    </row>
    <row r="289">
      <c r="A289" t="inlineStr">
        <is>
          <t>2026-07-05</t>
        </is>
      </c>
      <c r="B289" t="inlineStr">
        <is>
          <t>Sun</t>
        </is>
      </c>
      <c r="C289" t="inlineStr">
        <is>
          <t>Alyssa</t>
        </is>
      </c>
      <c r="D289" t="inlineStr">
        <is>
          <t>CANCEL OFF</t>
        </is>
      </c>
      <c r="E289" t="inlineStr">
        <is>
          <t>Present</t>
        </is>
      </c>
    </row>
    <row r="290">
      <c r="A290" t="inlineStr">
        <is>
          <t>2026-07-05</t>
        </is>
      </c>
      <c r="B290" t="inlineStr">
        <is>
          <t>Sun</t>
        </is>
      </c>
      <c r="C290" t="inlineStr">
        <is>
          <t>John Manuel</t>
        </is>
      </c>
      <c r="D290" t="inlineStr">
        <is>
          <t>12am-8am</t>
        </is>
      </c>
      <c r="E290" t="inlineStr">
        <is>
          <t>Present</t>
        </is>
      </c>
    </row>
    <row r="291">
      <c r="A291" t="inlineStr">
        <is>
          <t>2026-07-05</t>
        </is>
      </c>
      <c r="B291" t="inlineStr">
        <is>
          <t>Sun</t>
        </is>
      </c>
      <c r="C291" t="inlineStr">
        <is>
          <t>Micko Tanedo</t>
        </is>
      </c>
      <c r="D291" t="inlineStr">
        <is>
          <t>OFF</t>
        </is>
      </c>
      <c r="E291" t="inlineStr">
        <is>
          <t>-</t>
        </is>
      </c>
    </row>
    <row r="292">
      <c r="A292" t="inlineStr">
        <is>
          <t>2026-07-06</t>
        </is>
      </c>
      <c r="B292" t="inlineStr">
        <is>
          <t>Mon</t>
        </is>
      </c>
      <c r="C292" t="inlineStr">
        <is>
          <t>Alyssa</t>
        </is>
      </c>
      <c r="D292" t="inlineStr">
        <is>
          <t>4pm-12am</t>
        </is>
      </c>
      <c r="E292" t="inlineStr">
        <is>
          <t>Present</t>
        </is>
      </c>
    </row>
    <row r="293">
      <c r="A293" t="inlineStr">
        <is>
          <t>2026-07-06</t>
        </is>
      </c>
      <c r="B293" t="inlineStr">
        <is>
          <t>Mon</t>
        </is>
      </c>
      <c r="C293" t="inlineStr">
        <is>
          <t>John Manuel</t>
        </is>
      </c>
      <c r="D293" t="inlineStr">
        <is>
          <t>12am-8am</t>
        </is>
      </c>
      <c r="E293" t="inlineStr">
        <is>
          <t>Present</t>
        </is>
      </c>
    </row>
    <row r="294">
      <c r="A294" t="inlineStr">
        <is>
          <t>2026-07-06</t>
        </is>
      </c>
      <c r="B294" t="inlineStr">
        <is>
          <t>Mon</t>
        </is>
      </c>
      <c r="C294" t="inlineStr">
        <is>
          <t>Micko Tanedo</t>
        </is>
      </c>
      <c r="D294" t="inlineStr">
        <is>
          <t>8am-4pm</t>
        </is>
      </c>
      <c r="E294" t="inlineStr">
        <is>
          <t>Present</t>
        </is>
      </c>
    </row>
    <row r="295">
      <c r="A295" t="inlineStr">
        <is>
          <t>2026-07-07</t>
        </is>
      </c>
      <c r="B295" t="inlineStr">
        <is>
          <t>Tue</t>
        </is>
      </c>
      <c r="C295" t="inlineStr">
        <is>
          <t>Alyssa</t>
        </is>
      </c>
      <c r="D295" t="inlineStr">
        <is>
          <t>3pm-10pm</t>
        </is>
      </c>
      <c r="E295" t="inlineStr">
        <is>
          <t>Present</t>
        </is>
      </c>
    </row>
    <row r="296">
      <c r="A296" t="inlineStr">
        <is>
          <t>2026-07-07</t>
        </is>
      </c>
      <c r="B296" t="inlineStr">
        <is>
          <t>Tue</t>
        </is>
      </c>
      <c r="C296" t="inlineStr">
        <is>
          <t>John Manuel</t>
        </is>
      </c>
      <c r="D296" t="inlineStr">
        <is>
          <t>10pm-4am</t>
        </is>
      </c>
      <c r="E296" t="inlineStr">
        <is>
          <t>Present</t>
        </is>
      </c>
    </row>
    <row r="297">
      <c r="A297" t="inlineStr">
        <is>
          <t>2026-07-07</t>
        </is>
      </c>
      <c r="B297" t="inlineStr">
        <is>
          <t>Tue</t>
        </is>
      </c>
      <c r="C297" t="inlineStr">
        <is>
          <t>Micko Tanedo</t>
        </is>
      </c>
      <c r="D297" t="inlineStr">
        <is>
          <t>8am-3pm</t>
        </is>
      </c>
      <c r="E297" t="inlineStr">
        <is>
          <t>Present</t>
        </is>
      </c>
    </row>
    <row r="298">
      <c r="A298" t="inlineStr">
        <is>
          <t>2026-07-09</t>
        </is>
      </c>
      <c r="B298" t="inlineStr">
        <is>
          <t>Thu</t>
        </is>
      </c>
      <c r="C298" t="inlineStr">
        <is>
          <t>Alyssa</t>
        </is>
      </c>
      <c r="D298" t="inlineStr">
        <is>
          <t>4pm-12am</t>
        </is>
      </c>
      <c r="E298" t="inlineStr">
        <is>
          <t>Present</t>
        </is>
      </c>
    </row>
    <row r="299">
      <c r="A299" t="inlineStr">
        <is>
          <t>2026-07-09</t>
        </is>
      </c>
      <c r="B299" t="inlineStr">
        <is>
          <t>Thu</t>
        </is>
      </c>
      <c r="C299" t="inlineStr">
        <is>
          <t>John Manuel</t>
        </is>
      </c>
      <c r="D299" t="inlineStr">
        <is>
          <t>CANCEL OFF</t>
        </is>
      </c>
      <c r="E299" t="inlineStr">
        <is>
          <t>Present</t>
        </is>
      </c>
    </row>
    <row r="300">
      <c r="A300" t="inlineStr">
        <is>
          <t>2026-07-09</t>
        </is>
      </c>
      <c r="B300" t="inlineStr">
        <is>
          <t>Thu</t>
        </is>
      </c>
      <c r="C300" t="inlineStr">
        <is>
          <t>Micko Tanedo</t>
        </is>
      </c>
      <c r="D300" t="inlineStr">
        <is>
          <t>8am-4pm</t>
        </is>
      </c>
      <c r="E300" t="inlineStr">
        <is>
          <t>Present</t>
        </is>
      </c>
    </row>
    <row r="301">
      <c r="A301" t="inlineStr">
        <is>
          <t>2026-07-10</t>
        </is>
      </c>
      <c r="B301" t="inlineStr">
        <is>
          <t>Fri</t>
        </is>
      </c>
      <c r="C301" t="inlineStr">
        <is>
          <t>Alyssa</t>
        </is>
      </c>
      <c r="D301" t="inlineStr">
        <is>
          <t>4pm-12am</t>
        </is>
      </c>
      <c r="E301" t="inlineStr">
        <is>
          <t>Present</t>
        </is>
      </c>
    </row>
    <row r="302">
      <c r="A302" t="inlineStr">
        <is>
          <t>2026-07-10</t>
        </is>
      </c>
      <c r="B302" t="inlineStr">
        <is>
          <t>Fri</t>
        </is>
      </c>
      <c r="C302" t="inlineStr">
        <is>
          <t>John Manuel</t>
        </is>
      </c>
      <c r="D302" t="inlineStr">
        <is>
          <t>12am-8am</t>
        </is>
      </c>
      <c r="E302" t="inlineStr">
        <is>
          <t>Present</t>
        </is>
      </c>
    </row>
    <row r="303">
      <c r="A303" t="inlineStr">
        <is>
          <t>2026-07-10</t>
        </is>
      </c>
      <c r="B303" t="inlineStr">
        <is>
          <t>Fri</t>
        </is>
      </c>
      <c r="C303" t="inlineStr">
        <is>
          <t>Micko Tanedo</t>
        </is>
      </c>
      <c r="D303" t="inlineStr">
        <is>
          <t>8am-4pm</t>
        </is>
      </c>
      <c r="E303" t="inlineStr">
        <is>
          <t>Present</t>
        </is>
      </c>
    </row>
    <row r="304">
      <c r="A304" t="inlineStr">
        <is>
          <t>2026-07-11</t>
        </is>
      </c>
      <c r="B304" t="inlineStr">
        <is>
          <t>Sat</t>
        </is>
      </c>
      <c r="C304" t="inlineStr">
        <is>
          <t>Alyssa</t>
        </is>
      </c>
      <c r="D304" t="inlineStr">
        <is>
          <t>4pm-12am</t>
        </is>
      </c>
      <c r="E304" t="inlineStr">
        <is>
          <t>Present</t>
        </is>
      </c>
    </row>
    <row r="305">
      <c r="A305" t="inlineStr">
        <is>
          <t>2026-07-11</t>
        </is>
      </c>
      <c r="B305" t="inlineStr">
        <is>
          <t>Sat</t>
        </is>
      </c>
      <c r="C305" t="inlineStr">
        <is>
          <t>John Manuel</t>
        </is>
      </c>
      <c r="D305" t="inlineStr">
        <is>
          <t>CANCEL OFF</t>
        </is>
      </c>
      <c r="E305" t="inlineStr">
        <is>
          <t>Present</t>
        </is>
      </c>
    </row>
    <row r="306">
      <c r="A306" t="inlineStr">
        <is>
          <t>2026-07-11</t>
        </is>
      </c>
      <c r="B306" t="inlineStr">
        <is>
          <t>Sat</t>
        </is>
      </c>
      <c r="C306" t="inlineStr">
        <is>
          <t>Micko Tanedo</t>
        </is>
      </c>
      <c r="D306" t="inlineStr">
        <is>
          <t>8am-4pm</t>
        </is>
      </c>
      <c r="E306" t="inlineStr">
        <is>
          <t>Present</t>
        </is>
      </c>
    </row>
    <row r="307">
      <c r="A307" t="inlineStr">
        <is>
          <t>2026-07-12</t>
        </is>
      </c>
      <c r="B307" t="inlineStr">
        <is>
          <t>Sun</t>
        </is>
      </c>
      <c r="C307" t="inlineStr">
        <is>
          <t>Alyssa</t>
        </is>
      </c>
      <c r="D307" t="inlineStr">
        <is>
          <t>OFF</t>
        </is>
      </c>
      <c r="E307" t="inlineStr">
        <is>
          <t>-</t>
        </is>
      </c>
    </row>
    <row r="308">
      <c r="A308" t="inlineStr">
        <is>
          <t>2026-07-12</t>
        </is>
      </c>
      <c r="B308" t="inlineStr">
        <is>
          <t>Sun</t>
        </is>
      </c>
      <c r="C308" t="inlineStr">
        <is>
          <t>John Manuel</t>
        </is>
      </c>
      <c r="D308" t="inlineStr">
        <is>
          <t>12am-8am</t>
        </is>
      </c>
      <c r="E308" t="inlineStr">
        <is>
          <t>Present</t>
        </is>
      </c>
    </row>
    <row r="309">
      <c r="A309" t="inlineStr">
        <is>
          <t>2026-07-12</t>
        </is>
      </c>
      <c r="B309" t="inlineStr">
        <is>
          <t>Sun</t>
        </is>
      </c>
      <c r="C309" t="inlineStr">
        <is>
          <t>Micko Tanedo</t>
        </is>
      </c>
      <c r="D309" t="inlineStr">
        <is>
          <t>OFF</t>
        </is>
      </c>
      <c r="E309" t="inlineStr">
        <is>
          <t>-</t>
        </is>
      </c>
    </row>
    <row r="310">
      <c r="A310" t="inlineStr">
        <is>
          <t>2026-07-13</t>
        </is>
      </c>
      <c r="B310" t="inlineStr">
        <is>
          <t>Mon</t>
        </is>
      </c>
      <c r="C310" t="inlineStr">
        <is>
          <t>Alyssa</t>
        </is>
      </c>
      <c r="D310" t="inlineStr">
        <is>
          <t>4pm-12am</t>
        </is>
      </c>
      <c r="E310" t="inlineStr">
        <is>
          <t>Present</t>
        </is>
      </c>
    </row>
    <row r="311">
      <c r="A311" t="inlineStr">
        <is>
          <t>2026-07-13</t>
        </is>
      </c>
      <c r="B311" t="inlineStr">
        <is>
          <t>Mon</t>
        </is>
      </c>
      <c r="C311" t="inlineStr">
        <is>
          <t>John Manuel</t>
        </is>
      </c>
      <c r="D311" t="inlineStr">
        <is>
          <t>12am-8am</t>
        </is>
      </c>
      <c r="E311" t="inlineStr">
        <is>
          <t>Present</t>
        </is>
      </c>
    </row>
    <row r="312">
      <c r="A312" t="inlineStr">
        <is>
          <t>2026-07-13</t>
        </is>
      </c>
      <c r="B312" t="inlineStr">
        <is>
          <t>Mon</t>
        </is>
      </c>
      <c r="C312" t="inlineStr">
        <is>
          <t>Micko Tanedo</t>
        </is>
      </c>
      <c r="D312" t="inlineStr">
        <is>
          <t>8am-4pm</t>
        </is>
      </c>
      <c r="E312" t="inlineStr">
        <is>
          <t>Present</t>
        </is>
      </c>
    </row>
    <row r="313">
      <c r="A313" t="inlineStr">
        <is>
          <t>2026-07-14</t>
        </is>
      </c>
      <c r="B313" t="inlineStr">
        <is>
          <t>Tue</t>
        </is>
      </c>
      <c r="C313" t="inlineStr">
        <is>
          <t>Alyssa</t>
        </is>
      </c>
      <c r="D313" t="inlineStr">
        <is>
          <t>3pm-10pm</t>
        </is>
      </c>
      <c r="E313" t="inlineStr">
        <is>
          <t>Present</t>
        </is>
      </c>
    </row>
    <row r="314">
      <c r="A314" t="inlineStr">
        <is>
          <t>2026-07-14</t>
        </is>
      </c>
      <c r="B314" t="inlineStr">
        <is>
          <t>Tue</t>
        </is>
      </c>
      <c r="C314" t="inlineStr">
        <is>
          <t>John Manuel</t>
        </is>
      </c>
      <c r="D314" t="inlineStr">
        <is>
          <t>10pm-4am</t>
        </is>
      </c>
      <c r="E314" t="inlineStr">
        <is>
          <t>Present</t>
        </is>
      </c>
    </row>
    <row r="315">
      <c r="A315" t="inlineStr">
        <is>
          <t>2026-07-14</t>
        </is>
      </c>
      <c r="B315" t="inlineStr">
        <is>
          <t>Tue</t>
        </is>
      </c>
      <c r="C315" t="inlineStr">
        <is>
          <t>Micko Tanedo</t>
        </is>
      </c>
      <c r="D315" t="inlineStr">
        <is>
          <t>8am-3pm</t>
        </is>
      </c>
      <c r="E315" t="inlineStr">
        <is>
          <t>Present</t>
        </is>
      </c>
    </row>
    <row r="316">
      <c r="A316" t="inlineStr">
        <is>
          <t>2026-07-16</t>
        </is>
      </c>
      <c r="B316" t="inlineStr">
        <is>
          <t>Thu</t>
        </is>
      </c>
      <c r="C316" t="inlineStr">
        <is>
          <t>Alyssa</t>
        </is>
      </c>
      <c r="D316" t="inlineStr">
        <is>
          <t>4pm-12am</t>
        </is>
      </c>
      <c r="E316" t="inlineStr">
        <is>
          <t>Present</t>
        </is>
      </c>
    </row>
    <row r="317">
      <c r="A317" t="inlineStr">
        <is>
          <t>2026-07-16</t>
        </is>
      </c>
      <c r="B317" t="inlineStr">
        <is>
          <t>Thu</t>
        </is>
      </c>
      <c r="C317" t="inlineStr">
        <is>
          <t>John Manuel</t>
        </is>
      </c>
      <c r="D317" t="inlineStr">
        <is>
          <t>CANCEL OFF</t>
        </is>
      </c>
      <c r="E317" t="inlineStr">
        <is>
          <t>Present</t>
        </is>
      </c>
    </row>
    <row r="318">
      <c r="A318" t="inlineStr">
        <is>
          <t>2026-07-16</t>
        </is>
      </c>
      <c r="B318" t="inlineStr">
        <is>
          <t>Thu</t>
        </is>
      </c>
      <c r="C318" t="inlineStr">
        <is>
          <t>Micko Tanedo</t>
        </is>
      </c>
      <c r="D318" t="inlineStr">
        <is>
          <t>8am-4pm</t>
        </is>
      </c>
      <c r="E318" t="inlineStr">
        <is>
          <t>Present</t>
        </is>
      </c>
    </row>
    <row r="319">
      <c r="A319" t="inlineStr">
        <is>
          <t>2026-07-17</t>
        </is>
      </c>
      <c r="B319" t="inlineStr">
        <is>
          <t>Fri</t>
        </is>
      </c>
      <c r="C319" t="inlineStr">
        <is>
          <t>Alyssa</t>
        </is>
      </c>
      <c r="D319" t="inlineStr">
        <is>
          <t>4pm-12am</t>
        </is>
      </c>
      <c r="E319" t="inlineStr">
        <is>
          <t>Present</t>
        </is>
      </c>
    </row>
    <row r="320">
      <c r="A320" t="inlineStr">
        <is>
          <t>2026-07-17</t>
        </is>
      </c>
      <c r="B320" t="inlineStr">
        <is>
          <t>Fri</t>
        </is>
      </c>
      <c r="C320" t="inlineStr">
        <is>
          <t>John Manuel</t>
        </is>
      </c>
      <c r="D320" t="inlineStr">
        <is>
          <t>12am-8am</t>
        </is>
      </c>
      <c r="E320" t="inlineStr">
        <is>
          <t>Present</t>
        </is>
      </c>
    </row>
    <row r="321">
      <c r="A321" t="inlineStr">
        <is>
          <t>2026-07-17</t>
        </is>
      </c>
      <c r="B321" t="inlineStr">
        <is>
          <t>Fri</t>
        </is>
      </c>
      <c r="C321" t="inlineStr">
        <is>
          <t>Micko Tanedo</t>
        </is>
      </c>
      <c r="D321" t="inlineStr">
        <is>
          <t>8am-4pm</t>
        </is>
      </c>
      <c r="E321" t="inlineStr">
        <is>
          <t>Present</t>
        </is>
      </c>
    </row>
    <row r="322">
      <c r="A322" t="inlineStr">
        <is>
          <t>2026-07-18</t>
        </is>
      </c>
      <c r="B322" t="inlineStr">
        <is>
          <t>Sat</t>
        </is>
      </c>
      <c r="C322" t="inlineStr">
        <is>
          <t>Alyssa</t>
        </is>
      </c>
      <c r="D322" t="inlineStr">
        <is>
          <t>4pm-12am</t>
        </is>
      </c>
      <c r="E322" t="inlineStr">
        <is>
          <t>Present</t>
        </is>
      </c>
    </row>
    <row r="323">
      <c r="A323" t="inlineStr">
        <is>
          <t>2026-07-18</t>
        </is>
      </c>
      <c r="B323" t="inlineStr">
        <is>
          <t>Sat</t>
        </is>
      </c>
      <c r="C323" t="inlineStr">
        <is>
          <t>John Manuel</t>
        </is>
      </c>
      <c r="D323" t="inlineStr">
        <is>
          <t>CANCEL OFF</t>
        </is>
      </c>
      <c r="E323" t="inlineStr">
        <is>
          <t>Present</t>
        </is>
      </c>
    </row>
    <row r="324">
      <c r="A324" t="inlineStr">
        <is>
          <t>2026-07-18</t>
        </is>
      </c>
      <c r="B324" t="inlineStr">
        <is>
          <t>Sat</t>
        </is>
      </c>
      <c r="C324" t="inlineStr">
        <is>
          <t>Micko Tanedo</t>
        </is>
      </c>
      <c r="D324" t="inlineStr">
        <is>
          <t>8am-4pm</t>
        </is>
      </c>
      <c r="E324" t="inlineStr">
        <is>
          <t>Present</t>
        </is>
      </c>
    </row>
    <row r="325">
      <c r="A325" t="inlineStr">
        <is>
          <t>2026-07-19</t>
        </is>
      </c>
      <c r="B325" t="inlineStr">
        <is>
          <t>Sun</t>
        </is>
      </c>
      <c r="C325" t="inlineStr">
        <is>
          <t>Alyssa</t>
        </is>
      </c>
      <c r="D325" t="inlineStr">
        <is>
          <t>CANCEL OFF</t>
        </is>
      </c>
      <c r="E325" t="inlineStr">
        <is>
          <t>Present</t>
        </is>
      </c>
    </row>
    <row r="326">
      <c r="A326" t="inlineStr">
        <is>
          <t>2026-07-19</t>
        </is>
      </c>
      <c r="B326" t="inlineStr">
        <is>
          <t>Sun</t>
        </is>
      </c>
      <c r="C326" t="inlineStr">
        <is>
          <t>John Manuel</t>
        </is>
      </c>
      <c r="D326" t="inlineStr">
        <is>
          <t>12am-8am</t>
        </is>
      </c>
      <c r="E326" t="inlineStr">
        <is>
          <t>Present</t>
        </is>
      </c>
    </row>
    <row r="327">
      <c r="A327" t="inlineStr">
        <is>
          <t>2026-07-19</t>
        </is>
      </c>
      <c r="B327" t="inlineStr">
        <is>
          <t>Sun</t>
        </is>
      </c>
      <c r="C327" t="inlineStr">
        <is>
          <t>Micko Tanedo</t>
        </is>
      </c>
      <c r="D327" t="inlineStr">
        <is>
          <t>OFF</t>
        </is>
      </c>
      <c r="E327" t="inlineStr">
        <is>
          <t>-</t>
        </is>
      </c>
    </row>
    <row r="328">
      <c r="A328" t="inlineStr">
        <is>
          <t>2026-07-20</t>
        </is>
      </c>
      <c r="B328" t="inlineStr">
        <is>
          <t>Mon</t>
        </is>
      </c>
      <c r="C328" t="inlineStr">
        <is>
          <t>Alyssa</t>
        </is>
      </c>
      <c r="D328" t="inlineStr">
        <is>
          <t>4pm-12am</t>
        </is>
      </c>
      <c r="E328" t="inlineStr">
        <is>
          <t>Present</t>
        </is>
      </c>
    </row>
    <row r="329">
      <c r="A329" t="inlineStr">
        <is>
          <t>2026-07-20</t>
        </is>
      </c>
      <c r="B329" t="inlineStr">
        <is>
          <t>Mon</t>
        </is>
      </c>
      <c r="C329" t="inlineStr">
        <is>
          <t>John Manuel</t>
        </is>
      </c>
      <c r="D329" t="inlineStr">
        <is>
          <t>12am-8am</t>
        </is>
      </c>
      <c r="E329" t="inlineStr">
        <is>
          <t>Present</t>
        </is>
      </c>
    </row>
    <row r="330">
      <c r="A330" t="inlineStr">
        <is>
          <t>2026-07-20</t>
        </is>
      </c>
      <c r="B330" t="inlineStr">
        <is>
          <t>Mon</t>
        </is>
      </c>
      <c r="C330" t="inlineStr">
        <is>
          <t>Micko Tanedo</t>
        </is>
      </c>
      <c r="D330" t="inlineStr">
        <is>
          <t>8am-4pm</t>
        </is>
      </c>
      <c r="E330" t="inlineStr">
        <is>
          <t>Present</t>
        </is>
      </c>
    </row>
    <row r="331">
      <c r="A331" t="inlineStr">
        <is>
          <t>2026-07-21</t>
        </is>
      </c>
      <c r="B331" t="inlineStr">
        <is>
          <t>Tue</t>
        </is>
      </c>
      <c r="C331" t="inlineStr">
        <is>
          <t>Alyssa</t>
        </is>
      </c>
      <c r="D331" t="inlineStr">
        <is>
          <t>3pm-10pm</t>
        </is>
      </c>
      <c r="E331" t="inlineStr">
        <is>
          <t>Present</t>
        </is>
      </c>
    </row>
    <row r="332">
      <c r="A332" t="inlineStr">
        <is>
          <t>2026-07-21</t>
        </is>
      </c>
      <c r="B332" t="inlineStr">
        <is>
          <t>Tue</t>
        </is>
      </c>
      <c r="C332" t="inlineStr">
        <is>
          <t>John Manuel</t>
        </is>
      </c>
      <c r="D332" t="inlineStr">
        <is>
          <t>10pm-4am</t>
        </is>
      </c>
      <c r="E332" t="inlineStr">
        <is>
          <t>Present</t>
        </is>
      </c>
    </row>
    <row r="333">
      <c r="A333" t="inlineStr">
        <is>
          <t>2026-07-21</t>
        </is>
      </c>
      <c r="B333" t="inlineStr">
        <is>
          <t>Tue</t>
        </is>
      </c>
      <c r="C333" t="inlineStr">
        <is>
          <t>Micko Tanedo</t>
        </is>
      </c>
      <c r="D333" t="inlineStr">
        <is>
          <t>8am-3pm</t>
        </is>
      </c>
      <c r="E333" t="inlineStr">
        <is>
          <t>Present</t>
        </is>
      </c>
    </row>
    <row r="334">
      <c r="A334" t="inlineStr">
        <is>
          <t>2026-07-22</t>
        </is>
      </c>
      <c r="B334" t="inlineStr">
        <is>
          <t>Wed</t>
        </is>
      </c>
      <c r="C334" t="inlineStr">
        <is>
          <t>Alyssa</t>
        </is>
      </c>
      <c r="D334" t="inlineStr">
        <is>
          <t>CANCEL OFF</t>
        </is>
      </c>
      <c r="E334" t="inlineStr">
        <is>
          <t>Present</t>
        </is>
      </c>
    </row>
    <row r="335">
      <c r="A335" t="inlineStr">
        <is>
          <t>2026-07-22</t>
        </is>
      </c>
      <c r="B335" t="inlineStr">
        <is>
          <t>Wed</t>
        </is>
      </c>
      <c r="C335" t="inlineStr">
        <is>
          <t>John Manuel</t>
        </is>
      </c>
      <c r="D335" t="inlineStr">
        <is>
          <t>10pm-8am</t>
        </is>
      </c>
      <c r="E335" t="inlineStr">
        <is>
          <t>Present</t>
        </is>
      </c>
    </row>
    <row r="336">
      <c r="A336" t="inlineStr">
        <is>
          <t>2026-07-22</t>
        </is>
      </c>
      <c r="B336" t="inlineStr">
        <is>
          <t>Wed</t>
        </is>
      </c>
      <c r="C336" t="inlineStr">
        <is>
          <t>Micko Tanedo</t>
        </is>
      </c>
      <c r="D336" t="inlineStr">
        <is>
          <t>9am-4pm</t>
        </is>
      </c>
      <c r="E336" t="inlineStr">
        <is>
          <t>Present</t>
        </is>
      </c>
    </row>
    <row r="337">
      <c r="A337" t="inlineStr">
        <is>
          <t>2026-07-23</t>
        </is>
      </c>
      <c r="B337" t="inlineStr">
        <is>
          <t>Thu</t>
        </is>
      </c>
      <c r="C337" t="inlineStr">
        <is>
          <t>Alyssa</t>
        </is>
      </c>
      <c r="D337" t="inlineStr">
        <is>
          <t>4pm-12am</t>
        </is>
      </c>
      <c r="E337" t="inlineStr">
        <is>
          <t>Present</t>
        </is>
      </c>
    </row>
    <row r="338">
      <c r="A338" t="inlineStr">
        <is>
          <t>2026-07-23</t>
        </is>
      </c>
      <c r="B338" t="inlineStr">
        <is>
          <t>Thu</t>
        </is>
      </c>
      <c r="C338" t="inlineStr">
        <is>
          <t>John Manuel</t>
        </is>
      </c>
      <c r="D338" t="inlineStr">
        <is>
          <t>CANCEL OFF</t>
        </is>
      </c>
      <c r="E338" t="inlineStr">
        <is>
          <t>Present</t>
        </is>
      </c>
    </row>
    <row r="339">
      <c r="A339" t="inlineStr">
        <is>
          <t>2026-07-23</t>
        </is>
      </c>
      <c r="B339" t="inlineStr">
        <is>
          <t>Thu</t>
        </is>
      </c>
      <c r="C339" t="inlineStr">
        <is>
          <t>Micko Tanedo</t>
        </is>
      </c>
      <c r="D339" t="inlineStr">
        <is>
          <t>8am-4pm</t>
        </is>
      </c>
      <c r="E339" t="inlineStr">
        <is>
          <t>Present</t>
        </is>
      </c>
    </row>
    <row r="340">
      <c r="A340" t="inlineStr">
        <is>
          <t>2026-07-24</t>
        </is>
      </c>
      <c r="B340" t="inlineStr">
        <is>
          <t>Fri</t>
        </is>
      </c>
      <c r="C340" t="inlineStr">
        <is>
          <t>Alyssa</t>
        </is>
      </c>
      <c r="D340" t="inlineStr">
        <is>
          <t>4pm-12am</t>
        </is>
      </c>
      <c r="E340" t="inlineStr">
        <is>
          <t>Present</t>
        </is>
      </c>
    </row>
    <row r="341">
      <c r="A341" t="inlineStr">
        <is>
          <t>2026-07-24</t>
        </is>
      </c>
      <c r="B341" t="inlineStr">
        <is>
          <t>Fri</t>
        </is>
      </c>
      <c r="C341" t="inlineStr">
        <is>
          <t>John Manuel</t>
        </is>
      </c>
      <c r="D341" t="inlineStr">
        <is>
          <t>12am-8am</t>
        </is>
      </c>
      <c r="E341" t="inlineStr">
        <is>
          <t>Present</t>
        </is>
      </c>
    </row>
    <row r="342">
      <c r="A342" t="inlineStr">
        <is>
          <t>2026-07-24</t>
        </is>
      </c>
      <c r="B342" t="inlineStr">
        <is>
          <t>Fri</t>
        </is>
      </c>
      <c r="C342" t="inlineStr">
        <is>
          <t>Micko Tanedo</t>
        </is>
      </c>
      <c r="D342" t="inlineStr">
        <is>
          <t>OFF</t>
        </is>
      </c>
      <c r="E342" t="inlineStr">
        <is>
          <t>-</t>
        </is>
      </c>
    </row>
    <row r="343">
      <c r="A343" t="inlineStr">
        <is>
          <t>2026-07-25</t>
        </is>
      </c>
      <c r="B343" t="inlineStr">
        <is>
          <t>Sat</t>
        </is>
      </c>
      <c r="C343" t="inlineStr">
        <is>
          <t>Alyssa</t>
        </is>
      </c>
      <c r="D343" t="inlineStr">
        <is>
          <t>4pm-12am</t>
        </is>
      </c>
      <c r="E343" t="inlineStr">
        <is>
          <t>Present</t>
        </is>
      </c>
    </row>
    <row r="344">
      <c r="A344" t="inlineStr">
        <is>
          <t>2026-07-25</t>
        </is>
      </c>
      <c r="B344" t="inlineStr">
        <is>
          <t>Sat</t>
        </is>
      </c>
      <c r="C344" t="inlineStr">
        <is>
          <t>John Manuel</t>
        </is>
      </c>
      <c r="D344" t="inlineStr">
        <is>
          <t>CANCEL OFF</t>
        </is>
      </c>
      <c r="E344" t="inlineStr">
        <is>
          <t>Present</t>
        </is>
      </c>
    </row>
    <row r="345">
      <c r="A345" t="inlineStr">
        <is>
          <t>2026-07-25</t>
        </is>
      </c>
      <c r="B345" t="inlineStr">
        <is>
          <t>Sat</t>
        </is>
      </c>
      <c r="C345" t="inlineStr">
        <is>
          <t>Micko Tanedo</t>
        </is>
      </c>
      <c r="D345" t="inlineStr">
        <is>
          <t>8am-4pm</t>
        </is>
      </c>
      <c r="E345" t="inlineStr">
        <is>
          <t>Present</t>
        </is>
      </c>
    </row>
    <row r="346">
      <c r="A346" t="inlineStr">
        <is>
          <t>2026-07-26</t>
        </is>
      </c>
      <c r="B346" t="inlineStr">
        <is>
          <t>Sun</t>
        </is>
      </c>
      <c r="C346" t="inlineStr">
        <is>
          <t>Alyssa</t>
        </is>
      </c>
      <c r="D346" t="inlineStr">
        <is>
          <t>CANCEL OFF</t>
        </is>
      </c>
      <c r="E346" t="inlineStr">
        <is>
          <t>Present</t>
        </is>
      </c>
    </row>
    <row r="347">
      <c r="A347" t="inlineStr">
        <is>
          <t>2026-07-26</t>
        </is>
      </c>
      <c r="B347" t="inlineStr">
        <is>
          <t>Sun</t>
        </is>
      </c>
      <c r="C347" t="inlineStr">
        <is>
          <t>John Manuel</t>
        </is>
      </c>
      <c r="D347" t="inlineStr">
        <is>
          <t>12am-8am</t>
        </is>
      </c>
      <c r="E347" t="inlineStr">
        <is>
          <t>Present</t>
        </is>
      </c>
    </row>
    <row r="348">
      <c r="A348" t="inlineStr">
        <is>
          <t>2026-07-26</t>
        </is>
      </c>
      <c r="B348" t="inlineStr">
        <is>
          <t>Sun</t>
        </is>
      </c>
      <c r="C348" t="inlineStr">
        <is>
          <t>Micko Tanedo</t>
        </is>
      </c>
      <c r="D348" t="inlineStr">
        <is>
          <t>OFF</t>
        </is>
      </c>
      <c r="E348" t="inlineStr">
        <is>
          <t>-</t>
        </is>
      </c>
    </row>
    <row r="349">
      <c r="A349" t="inlineStr">
        <is>
          <t>2026-07-27</t>
        </is>
      </c>
      <c r="B349" t="inlineStr">
        <is>
          <t>Mon</t>
        </is>
      </c>
      <c r="C349" t="inlineStr">
        <is>
          <t>Alyssa</t>
        </is>
      </c>
      <c r="D349" t="inlineStr">
        <is>
          <t>4pm-12am</t>
        </is>
      </c>
      <c r="E349" t="inlineStr">
        <is>
          <t>Present</t>
        </is>
      </c>
    </row>
    <row r="350">
      <c r="A350" t="inlineStr">
        <is>
          <t>2026-07-27</t>
        </is>
      </c>
      <c r="B350" t="inlineStr">
        <is>
          <t>Mon</t>
        </is>
      </c>
      <c r="C350" t="inlineStr">
        <is>
          <t>John Manuel</t>
        </is>
      </c>
      <c r="D350" t="inlineStr">
        <is>
          <t>12am-8am</t>
        </is>
      </c>
      <c r="E350" t="inlineStr">
        <is>
          <t>Present</t>
        </is>
      </c>
    </row>
    <row r="351">
      <c r="A351" t="inlineStr">
        <is>
          <t>2026-07-27</t>
        </is>
      </c>
      <c r="B351" t="inlineStr">
        <is>
          <t>Mon</t>
        </is>
      </c>
      <c r="C351" t="inlineStr">
        <is>
          <t>Micko Tanedo</t>
        </is>
      </c>
      <c r="D351" t="inlineStr">
        <is>
          <t>8am-4pm</t>
        </is>
      </c>
      <c r="E351" t="inlineStr">
        <is>
          <t>Present</t>
        </is>
      </c>
    </row>
    <row r="352">
      <c r="A352" t="inlineStr">
        <is>
          <t>2026-07-28</t>
        </is>
      </c>
      <c r="B352" t="inlineStr">
        <is>
          <t>Tue</t>
        </is>
      </c>
      <c r="C352" t="inlineStr">
        <is>
          <t>Alyssa</t>
        </is>
      </c>
      <c r="D352" t="inlineStr">
        <is>
          <t>3pm-10pm</t>
        </is>
      </c>
      <c r="E352" t="inlineStr">
        <is>
          <t>Present</t>
        </is>
      </c>
    </row>
    <row r="353">
      <c r="A353" t="inlineStr">
        <is>
          <t>2026-07-28</t>
        </is>
      </c>
      <c r="B353" t="inlineStr">
        <is>
          <t>Tue</t>
        </is>
      </c>
      <c r="C353" t="inlineStr">
        <is>
          <t>John Manuel</t>
        </is>
      </c>
      <c r="D353" t="inlineStr">
        <is>
          <t>10pm-4am</t>
        </is>
      </c>
      <c r="E353" t="inlineStr">
        <is>
          <t>Present</t>
        </is>
      </c>
    </row>
    <row r="354">
      <c r="A354" t="inlineStr">
        <is>
          <t>2026-07-28</t>
        </is>
      </c>
      <c r="B354" t="inlineStr">
        <is>
          <t>Tue</t>
        </is>
      </c>
      <c r="C354" t="inlineStr">
        <is>
          <t>Micko Tanedo</t>
        </is>
      </c>
      <c r="D354" t="inlineStr">
        <is>
          <t>8am-3pm</t>
        </is>
      </c>
      <c r="E354" t="inlineStr">
        <is>
          <t>Present</t>
        </is>
      </c>
    </row>
    <row r="355">
      <c r="A355" t="inlineStr">
        <is>
          <t>2026-07-29</t>
        </is>
      </c>
      <c r="B355" t="inlineStr">
        <is>
          <t>Wed</t>
        </is>
      </c>
      <c r="C355" t="inlineStr">
        <is>
          <t>Alyssa</t>
        </is>
      </c>
      <c r="D355" t="inlineStr">
        <is>
          <t>4pm-12am</t>
        </is>
      </c>
      <c r="E355" t="inlineStr">
        <is>
          <t>Present</t>
        </is>
      </c>
    </row>
    <row r="356">
      <c r="A356" t="inlineStr">
        <is>
          <t>2026-07-29</t>
        </is>
      </c>
      <c r="B356" t="inlineStr">
        <is>
          <t>Wed</t>
        </is>
      </c>
      <c r="C356" t="inlineStr">
        <is>
          <t>John Manuel</t>
        </is>
      </c>
      <c r="D356" t="inlineStr">
        <is>
          <t>10pm-8am</t>
        </is>
      </c>
      <c r="E356" t="inlineStr">
        <is>
          <t>Present</t>
        </is>
      </c>
    </row>
    <row r="357">
      <c r="A357" t="inlineStr">
        <is>
          <t>2026-07-29</t>
        </is>
      </c>
      <c r="B357" t="inlineStr">
        <is>
          <t>Wed</t>
        </is>
      </c>
      <c r="C357" t="inlineStr">
        <is>
          <t>Micko Tanedo</t>
        </is>
      </c>
      <c r="D357" t="inlineStr">
        <is>
          <t>9am-4pm</t>
        </is>
      </c>
      <c r="E357" t="inlineStr">
        <is>
          <t>Present</t>
        </is>
      </c>
    </row>
    <row r="358">
      <c r="A358" t="inlineStr">
        <is>
          <t>2026-07-30</t>
        </is>
      </c>
      <c r="B358" t="inlineStr">
        <is>
          <t>Thu</t>
        </is>
      </c>
      <c r="C358" t="inlineStr">
        <is>
          <t>Alyssa</t>
        </is>
      </c>
      <c r="D358" t="inlineStr">
        <is>
          <t>OFF</t>
        </is>
      </c>
      <c r="E358" t="inlineStr">
        <is>
          <t>-</t>
        </is>
      </c>
    </row>
    <row r="359">
      <c r="A359" t="inlineStr">
        <is>
          <t>2026-07-30</t>
        </is>
      </c>
      <c r="B359" t="inlineStr">
        <is>
          <t>Thu</t>
        </is>
      </c>
      <c r="C359" t="inlineStr">
        <is>
          <t>John Manuel</t>
        </is>
      </c>
      <c r="D359" t="inlineStr">
        <is>
          <t>CANCEL OFF</t>
        </is>
      </c>
      <c r="E359" t="inlineStr">
        <is>
          <t>Present</t>
        </is>
      </c>
    </row>
    <row r="360">
      <c r="A360" t="inlineStr">
        <is>
          <t>2026-07-30</t>
        </is>
      </c>
      <c r="B360" t="inlineStr">
        <is>
          <t>Thu</t>
        </is>
      </c>
      <c r="C360" t="inlineStr">
        <is>
          <t>Micko Tanedo</t>
        </is>
      </c>
      <c r="D360" t="inlineStr">
        <is>
          <t>8am-4pm</t>
        </is>
      </c>
      <c r="E360" t="inlineStr">
        <is>
          <t>Present</t>
        </is>
      </c>
    </row>
    <row r="361">
      <c r="A361" t="inlineStr">
        <is>
          <t>2026-07-31</t>
        </is>
      </c>
      <c r="B361" t="inlineStr">
        <is>
          <t>Fri</t>
        </is>
      </c>
      <c r="C361" t="inlineStr">
        <is>
          <t>Alyssa</t>
        </is>
      </c>
      <c r="D361" t="inlineStr">
        <is>
          <t>4pm-12am</t>
        </is>
      </c>
      <c r="E361" t="inlineStr">
        <is>
          <t>Present</t>
        </is>
      </c>
    </row>
    <row r="362">
      <c r="A362" t="inlineStr">
        <is>
          <t>2026-07-31</t>
        </is>
      </c>
      <c r="B362" t="inlineStr">
        <is>
          <t>Fri</t>
        </is>
      </c>
      <c r="C362" t="inlineStr">
        <is>
          <t>John Manuel</t>
        </is>
      </c>
      <c r="D362" t="inlineStr">
        <is>
          <t>12am-8am</t>
        </is>
      </c>
      <c r="E362" t="inlineStr">
        <is>
          <t>Present</t>
        </is>
      </c>
    </row>
    <row r="363">
      <c r="A363" t="inlineStr">
        <is>
          <t>2026-07-31</t>
        </is>
      </c>
      <c r="B363" t="inlineStr">
        <is>
          <t>Fri</t>
        </is>
      </c>
      <c r="C363" t="inlineStr">
        <is>
          <t>Micko Tanedo</t>
        </is>
      </c>
      <c r="D363" t="inlineStr">
        <is>
          <t>OFF</t>
        </is>
      </c>
      <c r="E363" t="inlineStr">
        <is>
          <t>-</t>
        </is>
      </c>
    </row>
    <row r="364">
      <c r="A364" t="inlineStr">
        <is>
          <t>2026-08-01</t>
        </is>
      </c>
      <c r="B364" t="inlineStr">
        <is>
          <t>Sat</t>
        </is>
      </c>
      <c r="C364" t="inlineStr">
        <is>
          <t>Alyssa</t>
        </is>
      </c>
      <c r="D364" t="inlineStr">
        <is>
          <t>4pm-12am</t>
        </is>
      </c>
      <c r="E364" t="inlineStr">
        <is>
          <t>Present</t>
        </is>
      </c>
    </row>
    <row r="365">
      <c r="A365" t="inlineStr">
        <is>
          <t>2026-08-01</t>
        </is>
      </c>
      <c r="B365" t="inlineStr">
        <is>
          <t>Sat</t>
        </is>
      </c>
      <c r="C365" t="inlineStr">
        <is>
          <t>John Manuel</t>
        </is>
      </c>
      <c r="D365" t="inlineStr">
        <is>
          <t>CANCEL OFF</t>
        </is>
      </c>
      <c r="E365" t="inlineStr">
        <is>
          <t>Present</t>
        </is>
      </c>
    </row>
    <row r="366">
      <c r="A366" t="inlineStr">
        <is>
          <t>2026-08-01</t>
        </is>
      </c>
      <c r="B366" t="inlineStr">
        <is>
          <t>Sat</t>
        </is>
      </c>
      <c r="C366" t="inlineStr">
        <is>
          <t>Micko Tanedo</t>
        </is>
      </c>
      <c r="D366" t="inlineStr">
        <is>
          <t>8am-4pm</t>
        </is>
      </c>
      <c r="E366" t="inlineStr">
        <is>
          <t>Present</t>
        </is>
      </c>
    </row>
    <row r="367">
      <c r="A367" t="inlineStr">
        <is>
          <t>2026-08-02</t>
        </is>
      </c>
      <c r="B367" t="inlineStr">
        <is>
          <t>Sun</t>
        </is>
      </c>
      <c r="C367" t="inlineStr">
        <is>
          <t>Alyssa</t>
        </is>
      </c>
      <c r="D367" t="inlineStr">
        <is>
          <t>4pm-12am</t>
        </is>
      </c>
      <c r="E367" t="inlineStr">
        <is>
          <t>Present</t>
        </is>
      </c>
    </row>
    <row r="368">
      <c r="A368" t="inlineStr">
        <is>
          <t>2026-08-02</t>
        </is>
      </c>
      <c r="B368" t="inlineStr">
        <is>
          <t>Sun</t>
        </is>
      </c>
      <c r="C368" t="inlineStr">
        <is>
          <t>John Manuel</t>
        </is>
      </c>
      <c r="D368" t="inlineStr">
        <is>
          <t>12am-8am</t>
        </is>
      </c>
      <c r="E368" t="inlineStr">
        <is>
          <t>Present</t>
        </is>
      </c>
    </row>
    <row r="369">
      <c r="A369" t="inlineStr">
        <is>
          <t>2026-08-02</t>
        </is>
      </c>
      <c r="B369" t="inlineStr">
        <is>
          <t>Sun</t>
        </is>
      </c>
      <c r="C369" t="inlineStr">
        <is>
          <t>Micko Tanedo</t>
        </is>
      </c>
      <c r="D369" t="inlineStr">
        <is>
          <t>OFF</t>
        </is>
      </c>
      <c r="E369" t="inlineStr">
        <is>
          <t>-</t>
        </is>
      </c>
    </row>
    <row r="370">
      <c r="A370" t="inlineStr">
        <is>
          <t>2026-08-03</t>
        </is>
      </c>
      <c r="B370" t="inlineStr">
        <is>
          <t>Mon</t>
        </is>
      </c>
      <c r="C370" t="inlineStr">
        <is>
          <t>Alyssa</t>
        </is>
      </c>
      <c r="D370" t="inlineStr">
        <is>
          <t>CANCEL OFF</t>
        </is>
      </c>
      <c r="E370" t="inlineStr">
        <is>
          <t>Present</t>
        </is>
      </c>
    </row>
    <row r="371">
      <c r="A371" t="inlineStr">
        <is>
          <t>2026-08-03</t>
        </is>
      </c>
      <c r="B371" t="inlineStr">
        <is>
          <t>Mon</t>
        </is>
      </c>
      <c r="C371" t="inlineStr">
        <is>
          <t>John Manuel</t>
        </is>
      </c>
      <c r="D371" t="inlineStr">
        <is>
          <t>12am-8am</t>
        </is>
      </c>
      <c r="E371" t="inlineStr">
        <is>
          <t>Present</t>
        </is>
      </c>
    </row>
    <row r="372">
      <c r="A372" t="inlineStr">
        <is>
          <t>2026-08-03</t>
        </is>
      </c>
      <c r="B372" t="inlineStr">
        <is>
          <t>Mon</t>
        </is>
      </c>
      <c r="C372" t="inlineStr">
        <is>
          <t>Micko Tanedo</t>
        </is>
      </c>
      <c r="D372" t="inlineStr">
        <is>
          <t>8am-4pm</t>
        </is>
      </c>
      <c r="E372" t="inlineStr">
        <is>
          <t>Present</t>
        </is>
      </c>
    </row>
    <row r="373">
      <c r="A373" t="inlineStr">
        <is>
          <t>2026-08-04</t>
        </is>
      </c>
      <c r="B373" t="inlineStr">
        <is>
          <t>Tue</t>
        </is>
      </c>
      <c r="C373" t="inlineStr">
        <is>
          <t>Alyssa</t>
        </is>
      </c>
      <c r="D373" t="inlineStr">
        <is>
          <t>3pm-10pm</t>
        </is>
      </c>
      <c r="E373" t="inlineStr">
        <is>
          <t>Present</t>
        </is>
      </c>
    </row>
    <row r="374">
      <c r="A374" t="inlineStr">
        <is>
          <t>2026-08-04</t>
        </is>
      </c>
      <c r="B374" t="inlineStr">
        <is>
          <t>Tue</t>
        </is>
      </c>
      <c r="C374" t="inlineStr">
        <is>
          <t>John Manuel</t>
        </is>
      </c>
      <c r="D374" t="inlineStr">
        <is>
          <t>10pm-4am</t>
        </is>
      </c>
      <c r="E374" t="inlineStr">
        <is>
          <t>Present</t>
        </is>
      </c>
    </row>
    <row r="375">
      <c r="A375" t="inlineStr">
        <is>
          <t>2026-08-04</t>
        </is>
      </c>
      <c r="B375" t="inlineStr">
        <is>
          <t>Tue</t>
        </is>
      </c>
      <c r="C375" t="inlineStr">
        <is>
          <t>Micko Tanedo</t>
        </is>
      </c>
      <c r="D375" t="inlineStr">
        <is>
          <t>8am-3pm</t>
        </is>
      </c>
      <c r="E375" t="inlineStr">
        <is>
          <t>Present</t>
        </is>
      </c>
    </row>
    <row r="376">
      <c r="A376" t="inlineStr">
        <is>
          <t>2026-08-05</t>
        </is>
      </c>
      <c r="B376" t="inlineStr">
        <is>
          <t>Wed</t>
        </is>
      </c>
      <c r="C376" t="inlineStr">
        <is>
          <t>Alyssa</t>
        </is>
      </c>
      <c r="D376" t="inlineStr">
        <is>
          <t>4pm-12am</t>
        </is>
      </c>
      <c r="E376" t="inlineStr">
        <is>
          <t>Present</t>
        </is>
      </c>
    </row>
    <row r="377">
      <c r="A377" t="inlineStr">
        <is>
          <t>2026-08-05</t>
        </is>
      </c>
      <c r="B377" t="inlineStr">
        <is>
          <t>Wed</t>
        </is>
      </c>
      <c r="C377" t="inlineStr">
        <is>
          <t>John Manuel</t>
        </is>
      </c>
      <c r="D377" t="inlineStr">
        <is>
          <t>12am-8am</t>
        </is>
      </c>
      <c r="E377" t="inlineStr">
        <is>
          <t>Present</t>
        </is>
      </c>
    </row>
    <row r="378">
      <c r="A378" t="inlineStr">
        <is>
          <t>2026-08-05</t>
        </is>
      </c>
      <c r="B378" t="inlineStr">
        <is>
          <t>Wed</t>
        </is>
      </c>
      <c r="C378" t="inlineStr">
        <is>
          <t>Micko Tanedo</t>
        </is>
      </c>
      <c r="D378" t="inlineStr">
        <is>
          <t>9am-4pm</t>
        </is>
      </c>
      <c r="E378" t="inlineStr">
        <is>
          <t>Present</t>
        </is>
      </c>
    </row>
    <row r="379">
      <c r="A379" t="inlineStr">
        <is>
          <t>2026-08-06</t>
        </is>
      </c>
      <c r="B379" t="inlineStr">
        <is>
          <t>Thu</t>
        </is>
      </c>
      <c r="C379" t="inlineStr">
        <is>
          <t>Alyssa</t>
        </is>
      </c>
      <c r="D379" t="inlineStr">
        <is>
          <t>CANCEL OFF</t>
        </is>
      </c>
      <c r="E379" t="inlineStr">
        <is>
          <t>Present</t>
        </is>
      </c>
    </row>
    <row r="380">
      <c r="A380" t="inlineStr">
        <is>
          <t>2026-08-06</t>
        </is>
      </c>
      <c r="B380" t="inlineStr">
        <is>
          <t>Thu</t>
        </is>
      </c>
      <c r="C380" t="inlineStr">
        <is>
          <t>John Manuel</t>
        </is>
      </c>
      <c r="D380" t="inlineStr">
        <is>
          <t>CANCEL OFF</t>
        </is>
      </c>
      <c r="E380" t="inlineStr">
        <is>
          <t>Present</t>
        </is>
      </c>
    </row>
    <row r="381">
      <c r="A381" t="inlineStr">
        <is>
          <t>2026-08-06</t>
        </is>
      </c>
      <c r="B381" t="inlineStr">
        <is>
          <t>Thu</t>
        </is>
      </c>
      <c r="C381" t="inlineStr">
        <is>
          <t>Micko Tanedo</t>
        </is>
      </c>
      <c r="D381" t="inlineStr">
        <is>
          <t>8am-4pm</t>
        </is>
      </c>
      <c r="E381" t="inlineStr">
        <is>
          <t>Present</t>
        </is>
      </c>
    </row>
    <row r="382">
      <c r="A382" t="inlineStr">
        <is>
          <t>2026-08-07</t>
        </is>
      </c>
      <c r="B382" t="inlineStr">
        <is>
          <t>Fri</t>
        </is>
      </c>
      <c r="C382" t="inlineStr">
        <is>
          <t>Alyssa</t>
        </is>
      </c>
      <c r="D382" t="inlineStr">
        <is>
          <t>4pm-12am</t>
        </is>
      </c>
      <c r="E382" t="inlineStr">
        <is>
          <t>Present</t>
        </is>
      </c>
    </row>
    <row r="383">
      <c r="A383" t="inlineStr">
        <is>
          <t>2026-08-07</t>
        </is>
      </c>
      <c r="B383" t="inlineStr">
        <is>
          <t>Fri</t>
        </is>
      </c>
      <c r="C383" t="inlineStr">
        <is>
          <t>John Manuel</t>
        </is>
      </c>
      <c r="D383" t="inlineStr">
        <is>
          <t>12am-8am</t>
        </is>
      </c>
      <c r="E383" t="inlineStr">
        <is>
          <t>Present</t>
        </is>
      </c>
    </row>
    <row r="384">
      <c r="A384" t="inlineStr">
        <is>
          <t>2026-08-07</t>
        </is>
      </c>
      <c r="B384" t="inlineStr">
        <is>
          <t>Fri</t>
        </is>
      </c>
      <c r="C384" t="inlineStr">
        <is>
          <t>Micko Tanedo</t>
        </is>
      </c>
      <c r="D384" t="inlineStr">
        <is>
          <t>CANCEL OFF</t>
        </is>
      </c>
      <c r="E384" t="inlineStr">
        <is>
          <t>Present</t>
        </is>
      </c>
    </row>
    <row r="385">
      <c r="A385" t="inlineStr">
        <is>
          <t>2026-08-08</t>
        </is>
      </c>
      <c r="B385" t="inlineStr">
        <is>
          <t>Wed</t>
        </is>
      </c>
      <c r="C385" t="inlineStr">
        <is>
          <t>Alyssa</t>
        </is>
      </c>
      <c r="D385" t="inlineStr">
        <is>
          <t>Cancel OFF</t>
        </is>
      </c>
      <c r="E385" t="inlineStr">
        <is>
          <t>Present</t>
        </is>
      </c>
    </row>
    <row r="386">
      <c r="A386" t="inlineStr">
        <is>
          <t>2026-08-08</t>
        </is>
      </c>
      <c r="B386" t="inlineStr">
        <is>
          <t>Sat</t>
        </is>
      </c>
      <c r="C386" t="inlineStr">
        <is>
          <t>Alyssa</t>
        </is>
      </c>
      <c r="D386" t="inlineStr">
        <is>
          <t>4pm-12am</t>
        </is>
      </c>
      <c r="E386" t="inlineStr">
        <is>
          <t>Present</t>
        </is>
      </c>
    </row>
    <row r="387">
      <c r="A387" t="inlineStr">
        <is>
          <t>2026-08-08</t>
        </is>
      </c>
      <c r="B387" t="inlineStr">
        <is>
          <t>Wed</t>
        </is>
      </c>
      <c r="C387" t="inlineStr">
        <is>
          <t>John Manuel</t>
        </is>
      </c>
      <c r="D387" t="inlineStr">
        <is>
          <t>10pm-8am</t>
        </is>
      </c>
      <c r="E387" t="inlineStr">
        <is>
          <t>Present</t>
        </is>
      </c>
    </row>
    <row r="388">
      <c r="A388" t="inlineStr">
        <is>
          <t>2026-08-08</t>
        </is>
      </c>
      <c r="B388" t="inlineStr">
        <is>
          <t>Sat</t>
        </is>
      </c>
      <c r="C388" t="inlineStr">
        <is>
          <t>John Manuel</t>
        </is>
      </c>
      <c r="D388" t="inlineStr">
        <is>
          <t>OFF</t>
        </is>
      </c>
      <c r="E388" t="inlineStr">
        <is>
          <t>-</t>
        </is>
      </c>
    </row>
    <row r="389">
      <c r="A389" t="inlineStr">
        <is>
          <t>2026-08-08</t>
        </is>
      </c>
      <c r="B389" t="inlineStr">
        <is>
          <t>Wed</t>
        </is>
      </c>
      <c r="C389" t="inlineStr">
        <is>
          <t>Micko Tanedo</t>
        </is>
      </c>
      <c r="D389" t="inlineStr">
        <is>
          <t>Cancel OFF</t>
        </is>
      </c>
      <c r="E389" t="inlineStr">
        <is>
          <t>Present</t>
        </is>
      </c>
    </row>
    <row r="390">
      <c r="A390" t="inlineStr">
        <is>
          <t>2026-08-08</t>
        </is>
      </c>
      <c r="B390" t="inlineStr">
        <is>
          <t>Sat</t>
        </is>
      </c>
      <c r="C390" t="inlineStr">
        <is>
          <t>Micko Tanedo</t>
        </is>
      </c>
      <c r="D390" t="inlineStr">
        <is>
          <t>8am-4pm</t>
        </is>
      </c>
      <c r="E390" t="inlineStr">
        <is>
          <t>Present</t>
        </is>
      </c>
    </row>
    <row r="391">
      <c r="A391" t="inlineStr">
        <is>
          <t>2026-08-09</t>
        </is>
      </c>
      <c r="B391" t="inlineStr">
        <is>
          <t>Sun</t>
        </is>
      </c>
      <c r="C391" t="inlineStr">
        <is>
          <t>Alyssa</t>
        </is>
      </c>
      <c r="D391" t="inlineStr">
        <is>
          <t>CANCEL OFF</t>
        </is>
      </c>
      <c r="E391" t="inlineStr">
        <is>
          <t>Present</t>
        </is>
      </c>
    </row>
    <row r="392">
      <c r="A392" t="inlineStr">
        <is>
          <t>2026-08-09</t>
        </is>
      </c>
      <c r="B392" t="inlineStr">
        <is>
          <t>Sun</t>
        </is>
      </c>
      <c r="C392" t="inlineStr">
        <is>
          <t>John Manuel</t>
        </is>
      </c>
      <c r="D392" t="inlineStr">
        <is>
          <t>12am-8am</t>
        </is>
      </c>
      <c r="E392" t="inlineStr">
        <is>
          <t>Present</t>
        </is>
      </c>
    </row>
    <row r="393">
      <c r="A393" t="inlineStr">
        <is>
          <t>2026-08-09</t>
        </is>
      </c>
      <c r="B393" t="inlineStr">
        <is>
          <t>Sun</t>
        </is>
      </c>
      <c r="C393" t="inlineStr">
        <is>
          <t>Micko Tanedo</t>
        </is>
      </c>
      <c r="D393" t="inlineStr">
        <is>
          <t>OFF</t>
        </is>
      </c>
      <c r="E393" t="inlineStr">
        <is>
          <t>-</t>
        </is>
      </c>
    </row>
    <row r="394">
      <c r="A394" t="inlineStr">
        <is>
          <t>2026-08-10</t>
        </is>
      </c>
      <c r="B394" t="inlineStr">
        <is>
          <t>Mon</t>
        </is>
      </c>
      <c r="C394" t="inlineStr">
        <is>
          <t>Alyssa</t>
        </is>
      </c>
      <c r="D394" t="inlineStr">
        <is>
          <t>4pm-12am</t>
        </is>
      </c>
      <c r="E394" t="inlineStr">
        <is>
          <t>Present</t>
        </is>
      </c>
    </row>
    <row r="395">
      <c r="A395" t="inlineStr">
        <is>
          <t>2026-08-10</t>
        </is>
      </c>
      <c r="B395" t="inlineStr">
        <is>
          <t>Mon</t>
        </is>
      </c>
      <c r="C395" t="inlineStr">
        <is>
          <t>John Manuel</t>
        </is>
      </c>
      <c r="D395" t="inlineStr">
        <is>
          <t>12am-8am</t>
        </is>
      </c>
      <c r="E395" t="inlineStr">
        <is>
          <t>Present</t>
        </is>
      </c>
    </row>
    <row r="396">
      <c r="A396" t="inlineStr">
        <is>
          <t>2026-08-10</t>
        </is>
      </c>
      <c r="B396" t="inlineStr">
        <is>
          <t>Mon</t>
        </is>
      </c>
      <c r="C396" t="inlineStr">
        <is>
          <t>Micko Tanedo</t>
        </is>
      </c>
      <c r="D396" t="inlineStr">
        <is>
          <t>8am-4pm</t>
        </is>
      </c>
      <c r="E396" t="inlineStr">
        <is>
          <t>Present</t>
        </is>
      </c>
    </row>
    <row r="397">
      <c r="A397" t="inlineStr">
        <is>
          <t>2026-08-11</t>
        </is>
      </c>
      <c r="B397" t="inlineStr">
        <is>
          <t>Tue</t>
        </is>
      </c>
      <c r="C397" t="inlineStr">
        <is>
          <t>Alyssa</t>
        </is>
      </c>
      <c r="D397" t="inlineStr">
        <is>
          <t>3pm-10pm</t>
        </is>
      </c>
      <c r="E397" t="inlineStr">
        <is>
          <t>Present</t>
        </is>
      </c>
    </row>
    <row r="398">
      <c r="A398" t="inlineStr">
        <is>
          <t>2026-08-11</t>
        </is>
      </c>
      <c r="B398" t="inlineStr">
        <is>
          <t>Tue</t>
        </is>
      </c>
      <c r="C398" t="inlineStr">
        <is>
          <t>John Manuel</t>
        </is>
      </c>
      <c r="D398" t="inlineStr">
        <is>
          <t>10pm-4am</t>
        </is>
      </c>
      <c r="E398" t="inlineStr">
        <is>
          <t>Present</t>
        </is>
      </c>
    </row>
    <row r="399">
      <c r="A399" t="inlineStr">
        <is>
          <t>2026-08-11</t>
        </is>
      </c>
      <c r="B399" t="inlineStr">
        <is>
          <t>Tue</t>
        </is>
      </c>
      <c r="C399" t="inlineStr">
        <is>
          <t>Micko Tanedo</t>
        </is>
      </c>
      <c r="D399" t="inlineStr">
        <is>
          <t>8am-4pm</t>
        </is>
      </c>
      <c r="E399" t="inlineStr">
        <is>
          <t>Present</t>
        </is>
      </c>
    </row>
    <row r="400">
      <c r="A400" t="inlineStr">
        <is>
          <t>2026-08-12</t>
        </is>
      </c>
      <c r="B400" t="inlineStr">
        <is>
          <t>Wed</t>
        </is>
      </c>
      <c r="C400" t="inlineStr">
        <is>
          <t>Alyssa</t>
        </is>
      </c>
      <c r="D400" t="inlineStr">
        <is>
          <t>4pm-12am</t>
        </is>
      </c>
      <c r="E400" t="inlineStr">
        <is>
          <t>Present</t>
        </is>
      </c>
    </row>
    <row r="401">
      <c r="A401" t="inlineStr">
        <is>
          <t>2026-08-12</t>
        </is>
      </c>
      <c r="B401" t="inlineStr">
        <is>
          <t>Wed</t>
        </is>
      </c>
      <c r="C401" t="inlineStr">
        <is>
          <t>John Manuel</t>
        </is>
      </c>
      <c r="D401" t="inlineStr">
        <is>
          <t>12am-8am</t>
        </is>
      </c>
      <c r="E401" t="inlineStr">
        <is>
          <t>Present</t>
        </is>
      </c>
    </row>
    <row r="402">
      <c r="A402" t="inlineStr">
        <is>
          <t>2026-08-12</t>
        </is>
      </c>
      <c r="B402" t="inlineStr">
        <is>
          <t>Wed</t>
        </is>
      </c>
      <c r="C402" t="inlineStr">
        <is>
          <t>Micko Tanedo</t>
        </is>
      </c>
      <c r="D402" t="inlineStr">
        <is>
          <t>9am-4pm</t>
        </is>
      </c>
      <c r="E402" t="inlineStr">
        <is>
          <t>Present</t>
        </is>
      </c>
    </row>
    <row r="403">
      <c r="A403" t="inlineStr">
        <is>
          <t>2026-08-13</t>
        </is>
      </c>
      <c r="B403" t="inlineStr">
        <is>
          <t>Thu</t>
        </is>
      </c>
      <c r="C403" t="inlineStr">
        <is>
          <t>Alyssa</t>
        </is>
      </c>
      <c r="D403" t="inlineStr">
        <is>
          <t>CANCEL OFF</t>
        </is>
      </c>
      <c r="E403" t="inlineStr">
        <is>
          <t>Present</t>
        </is>
      </c>
    </row>
    <row r="404">
      <c r="A404" t="inlineStr">
        <is>
          <t>2026-08-13</t>
        </is>
      </c>
      <c r="B404" t="inlineStr">
        <is>
          <t>Thu</t>
        </is>
      </c>
      <c r="C404" t="inlineStr">
        <is>
          <t>John Manuel</t>
        </is>
      </c>
      <c r="D404" t="inlineStr">
        <is>
          <t>CANCEL OFF</t>
        </is>
      </c>
      <c r="E404" t="inlineStr">
        <is>
          <t>Present</t>
        </is>
      </c>
    </row>
    <row r="405">
      <c r="A405" t="inlineStr">
        <is>
          <t>2026-08-13</t>
        </is>
      </c>
      <c r="B405" t="inlineStr">
        <is>
          <t>Thu</t>
        </is>
      </c>
      <c r="C405" t="inlineStr">
        <is>
          <t>Micko Tanedo</t>
        </is>
      </c>
      <c r="D405" t="inlineStr">
        <is>
          <t>8am-4pm</t>
        </is>
      </c>
      <c r="E405" t="inlineStr">
        <is>
          <t>Present</t>
        </is>
      </c>
    </row>
    <row r="406">
      <c r="A406" t="inlineStr">
        <is>
          <t>2026-08-14</t>
        </is>
      </c>
      <c r="B406" t="inlineStr">
        <is>
          <t>Fri</t>
        </is>
      </c>
      <c r="C406" t="inlineStr">
        <is>
          <t>Alyssa</t>
        </is>
      </c>
      <c r="D406" t="inlineStr">
        <is>
          <t>4pm-12am</t>
        </is>
      </c>
      <c r="E406" t="inlineStr">
        <is>
          <t>Present</t>
        </is>
      </c>
    </row>
    <row r="407">
      <c r="A407" t="inlineStr">
        <is>
          <t>2026-08-14</t>
        </is>
      </c>
      <c r="B407" t="inlineStr">
        <is>
          <t>Fri</t>
        </is>
      </c>
      <c r="C407" t="inlineStr">
        <is>
          <t>John Manuel</t>
        </is>
      </c>
      <c r="D407" t="inlineStr">
        <is>
          <t>12am-8am</t>
        </is>
      </c>
      <c r="E407" t="inlineStr">
        <is>
          <t>Present</t>
        </is>
      </c>
    </row>
    <row r="408">
      <c r="A408" t="inlineStr">
        <is>
          <t>2026-08-14</t>
        </is>
      </c>
      <c r="B408" t="inlineStr">
        <is>
          <t>Fri</t>
        </is>
      </c>
      <c r="C408" t="inlineStr">
        <is>
          <t>Micko Tanedo</t>
        </is>
      </c>
      <c r="D408" t="inlineStr">
        <is>
          <t>8am-4pm</t>
        </is>
      </c>
      <c r="E408" t="inlineStr">
        <is>
          <t>Present</t>
        </is>
      </c>
    </row>
    <row r="409">
      <c r="A409" t="inlineStr">
        <is>
          <t>2026-08-15</t>
        </is>
      </c>
      <c r="B409" t="inlineStr">
        <is>
          <t>Wed</t>
        </is>
      </c>
      <c r="C409" t="inlineStr">
        <is>
          <t>Alyssa</t>
        </is>
      </c>
      <c r="D409" t="inlineStr">
        <is>
          <t>OFF</t>
        </is>
      </c>
      <c r="E409" t="inlineStr">
        <is>
          <t>-</t>
        </is>
      </c>
    </row>
    <row r="410">
      <c r="A410" t="inlineStr">
        <is>
          <t>2026-08-15</t>
        </is>
      </c>
      <c r="B410" t="inlineStr">
        <is>
          <t>Sat</t>
        </is>
      </c>
      <c r="C410" t="inlineStr">
        <is>
          <t>Alyssa</t>
        </is>
      </c>
      <c r="D410" t="inlineStr">
        <is>
          <t>4pm-12am</t>
        </is>
      </c>
      <c r="E410" t="inlineStr">
        <is>
          <t>Present</t>
        </is>
      </c>
    </row>
    <row r="411">
      <c r="A411" t="inlineStr">
        <is>
          <t>2026-08-15</t>
        </is>
      </c>
      <c r="B411" t="inlineStr">
        <is>
          <t>Wed</t>
        </is>
      </c>
      <c r="C411" t="inlineStr">
        <is>
          <t>John Manuel</t>
        </is>
      </c>
      <c r="D411" t="inlineStr">
        <is>
          <t>10pm-8am</t>
        </is>
      </c>
      <c r="E411" t="inlineStr">
        <is>
          <t>Present</t>
        </is>
      </c>
    </row>
    <row r="412">
      <c r="A412" t="inlineStr">
        <is>
          <t>2026-08-15</t>
        </is>
      </c>
      <c r="B412" t="inlineStr">
        <is>
          <t>Sat</t>
        </is>
      </c>
      <c r="C412" t="inlineStr">
        <is>
          <t>John Manuel</t>
        </is>
      </c>
      <c r="D412" t="inlineStr">
        <is>
          <t>CANCEL OFF</t>
        </is>
      </c>
      <c r="E412" t="inlineStr">
        <is>
          <t>Present</t>
        </is>
      </c>
    </row>
    <row r="413">
      <c r="A413" t="inlineStr">
        <is>
          <t>2026-08-15</t>
        </is>
      </c>
      <c r="B413" t="inlineStr">
        <is>
          <t>Wed</t>
        </is>
      </c>
      <c r="C413" t="inlineStr">
        <is>
          <t>Micko Tanedo</t>
        </is>
      </c>
      <c r="D413" t="inlineStr">
        <is>
          <t>Cancel OFF</t>
        </is>
      </c>
      <c r="E413" t="inlineStr">
        <is>
          <t>Present</t>
        </is>
      </c>
    </row>
    <row r="414">
      <c r="A414" t="inlineStr">
        <is>
          <t>2026-08-15</t>
        </is>
      </c>
      <c r="B414" t="inlineStr">
        <is>
          <t>Sat</t>
        </is>
      </c>
      <c r="C414" t="inlineStr">
        <is>
          <t>Micko Tanedo</t>
        </is>
      </c>
      <c r="D414" t="inlineStr">
        <is>
          <t>OFF</t>
        </is>
      </c>
      <c r="E414" t="inlineStr">
        <is>
          <t>-</t>
        </is>
      </c>
    </row>
    <row r="415">
      <c r="A415" t="inlineStr">
        <is>
          <t>2026-08-16</t>
        </is>
      </c>
      <c r="B415" t="inlineStr">
        <is>
          <t>Sun</t>
        </is>
      </c>
      <c r="C415" t="inlineStr">
        <is>
          <t>Alyssa</t>
        </is>
      </c>
      <c r="D415" t="inlineStr">
        <is>
          <t>4pm-12am</t>
        </is>
      </c>
      <c r="E415" t="inlineStr">
        <is>
          <t>Present</t>
        </is>
      </c>
    </row>
    <row r="416">
      <c r="A416" t="inlineStr">
        <is>
          <t>2026-08-16</t>
        </is>
      </c>
      <c r="B416" t="inlineStr">
        <is>
          <t>Sun</t>
        </is>
      </c>
      <c r="C416" t="inlineStr">
        <is>
          <t>John Manuel</t>
        </is>
      </c>
      <c r="D416" t="inlineStr">
        <is>
          <t>12am-8am</t>
        </is>
      </c>
      <c r="E416" t="inlineStr">
        <is>
          <t>Present</t>
        </is>
      </c>
    </row>
    <row r="417">
      <c r="A417" t="inlineStr">
        <is>
          <t>2026-08-16</t>
        </is>
      </c>
      <c r="B417" t="inlineStr">
        <is>
          <t>Sun</t>
        </is>
      </c>
      <c r="C417" t="inlineStr">
        <is>
          <t>Micko Tanedo</t>
        </is>
      </c>
      <c r="D417" t="inlineStr">
        <is>
          <t>OFF</t>
        </is>
      </c>
      <c r="E417" t="inlineStr">
        <is>
          <t>-</t>
        </is>
      </c>
    </row>
    <row r="418">
      <c r="A418" t="inlineStr">
        <is>
          <t>2026-08-17</t>
        </is>
      </c>
      <c r="B418" t="inlineStr">
        <is>
          <t>Mon</t>
        </is>
      </c>
      <c r="C418" t="inlineStr">
        <is>
          <t>Alyssa</t>
        </is>
      </c>
      <c r="D418" t="inlineStr">
        <is>
          <t>CANCEL OFF</t>
        </is>
      </c>
      <c r="E418" t="inlineStr">
        <is>
          <t>Present</t>
        </is>
      </c>
    </row>
    <row r="419">
      <c r="A419" t="inlineStr">
        <is>
          <t>2026-08-17</t>
        </is>
      </c>
      <c r="B419" t="inlineStr">
        <is>
          <t>Mon</t>
        </is>
      </c>
      <c r="C419" t="inlineStr">
        <is>
          <t>John Manuel</t>
        </is>
      </c>
      <c r="D419" t="inlineStr">
        <is>
          <t>12am-8am</t>
        </is>
      </c>
      <c r="E419" t="inlineStr">
        <is>
          <t>Present</t>
        </is>
      </c>
    </row>
    <row r="420">
      <c r="A420" t="inlineStr">
        <is>
          <t>2026-08-17</t>
        </is>
      </c>
      <c r="B420" t="inlineStr">
        <is>
          <t>Mon</t>
        </is>
      </c>
      <c r="C420" t="inlineStr">
        <is>
          <t>Micko Tanedo</t>
        </is>
      </c>
      <c r="D420" t="inlineStr">
        <is>
          <t>8am-4pm</t>
        </is>
      </c>
      <c r="E420" t="inlineStr">
        <is>
          <t>Present</t>
        </is>
      </c>
    </row>
    <row r="421">
      <c r="A421" t="inlineStr">
        <is>
          <t>2026-08-18</t>
        </is>
      </c>
      <c r="B421" t="inlineStr">
        <is>
          <t>Tue</t>
        </is>
      </c>
      <c r="C421" t="inlineStr">
        <is>
          <t>Alyssa</t>
        </is>
      </c>
      <c r="D421" t="inlineStr">
        <is>
          <t>3pm-10pm</t>
        </is>
      </c>
      <c r="E421" t="inlineStr">
        <is>
          <t>Present</t>
        </is>
      </c>
    </row>
    <row r="422">
      <c r="A422" t="inlineStr">
        <is>
          <t>2026-08-18</t>
        </is>
      </c>
      <c r="B422" t="inlineStr">
        <is>
          <t>Tue</t>
        </is>
      </c>
      <c r="C422" t="inlineStr">
        <is>
          <t>John Manuel</t>
        </is>
      </c>
      <c r="D422" t="inlineStr">
        <is>
          <t>10pm-4am</t>
        </is>
      </c>
      <c r="E422" t="inlineStr">
        <is>
          <t>Present</t>
        </is>
      </c>
    </row>
    <row r="423">
      <c r="A423" t="inlineStr">
        <is>
          <t>2026-08-18</t>
        </is>
      </c>
      <c r="B423" t="inlineStr">
        <is>
          <t>Tue</t>
        </is>
      </c>
      <c r="C423" t="inlineStr">
        <is>
          <t>Micko Tanedo</t>
        </is>
      </c>
      <c r="D423" t="inlineStr">
        <is>
          <t>8am-4pm</t>
        </is>
      </c>
      <c r="E423" t="inlineStr">
        <is>
          <t>Present</t>
        </is>
      </c>
    </row>
    <row r="424">
      <c r="A424" t="inlineStr">
        <is>
          <t>2026-08-19</t>
        </is>
      </c>
      <c r="B424" t="inlineStr">
        <is>
          <t>Wed</t>
        </is>
      </c>
      <c r="C424" t="inlineStr">
        <is>
          <t>Alyssa</t>
        </is>
      </c>
      <c r="D424" t="inlineStr">
        <is>
          <t>4pm-12am</t>
        </is>
      </c>
      <c r="E424" t="inlineStr">
        <is>
          <t>Present</t>
        </is>
      </c>
    </row>
    <row r="425">
      <c r="A425" t="inlineStr">
        <is>
          <t>2026-08-19</t>
        </is>
      </c>
      <c r="B425" t="inlineStr">
        <is>
          <t>Wed</t>
        </is>
      </c>
      <c r="C425" t="inlineStr">
        <is>
          <t>John Manuel</t>
        </is>
      </c>
      <c r="D425" t="inlineStr">
        <is>
          <t>12am-8am</t>
        </is>
      </c>
      <c r="E425" t="inlineStr">
        <is>
          <t>Present</t>
        </is>
      </c>
    </row>
    <row r="426">
      <c r="A426" t="inlineStr">
        <is>
          <t>2026-08-19</t>
        </is>
      </c>
      <c r="B426" t="inlineStr">
        <is>
          <t>Wed</t>
        </is>
      </c>
      <c r="C426" t="inlineStr">
        <is>
          <t>Micko Tanedo</t>
        </is>
      </c>
      <c r="D426" t="inlineStr">
        <is>
          <t>9am-4pm</t>
        </is>
      </c>
      <c r="E426" t="inlineStr">
        <is>
          <t>Present</t>
        </is>
      </c>
    </row>
    <row r="427">
      <c r="A427" t="inlineStr">
        <is>
          <t>2026-08-20</t>
        </is>
      </c>
      <c r="B427" t="inlineStr">
        <is>
          <t>Thu</t>
        </is>
      </c>
      <c r="C427" t="inlineStr">
        <is>
          <t>Alyssa</t>
        </is>
      </c>
      <c r="D427" t="inlineStr">
        <is>
          <t>4pm-12am</t>
        </is>
      </c>
      <c r="E427" t="inlineStr">
        <is>
          <t>Present</t>
        </is>
      </c>
    </row>
    <row r="428">
      <c r="A428" t="inlineStr">
        <is>
          <t>2026-08-20</t>
        </is>
      </c>
      <c r="B428" t="inlineStr">
        <is>
          <t>Thu</t>
        </is>
      </c>
      <c r="C428" t="inlineStr">
        <is>
          <t>John Manuel</t>
        </is>
      </c>
      <c r="D428" t="inlineStr">
        <is>
          <t>CANCEL OFF</t>
        </is>
      </c>
      <c r="E428" t="inlineStr">
        <is>
          <t>Present</t>
        </is>
      </c>
    </row>
    <row r="429">
      <c r="A429" t="inlineStr">
        <is>
          <t>2026-08-20</t>
        </is>
      </c>
      <c r="B429" t="inlineStr">
        <is>
          <t>Thu</t>
        </is>
      </c>
      <c r="C429" t="inlineStr">
        <is>
          <t>Micko Tanedo</t>
        </is>
      </c>
      <c r="D429" t="inlineStr">
        <is>
          <t>8am-4pm</t>
        </is>
      </c>
      <c r="E429" t="inlineStr">
        <is>
          <t>Present</t>
        </is>
      </c>
    </row>
    <row r="430">
      <c r="A430" t="inlineStr">
        <is>
          <t>2026-08-21</t>
        </is>
      </c>
      <c r="B430" t="inlineStr">
        <is>
          <t>Fri</t>
        </is>
      </c>
      <c r="C430" t="inlineStr">
        <is>
          <t>Alyssa</t>
        </is>
      </c>
      <c r="D430" t="inlineStr">
        <is>
          <t>CANCEL OFF</t>
        </is>
      </c>
      <c r="E430" t="inlineStr">
        <is>
          <t>Present</t>
        </is>
      </c>
    </row>
    <row r="431">
      <c r="A431" t="inlineStr">
        <is>
          <t>2026-08-21</t>
        </is>
      </c>
      <c r="B431" t="inlineStr">
        <is>
          <t>Fri</t>
        </is>
      </c>
      <c r="C431" t="inlineStr">
        <is>
          <t>John Manuel</t>
        </is>
      </c>
      <c r="D431" t="inlineStr">
        <is>
          <t>12am-8am</t>
        </is>
      </c>
      <c r="E431" t="inlineStr">
        <is>
          <t>Present</t>
        </is>
      </c>
    </row>
    <row r="432">
      <c r="A432" t="inlineStr">
        <is>
          <t>2026-08-21</t>
        </is>
      </c>
      <c r="B432" t="inlineStr">
        <is>
          <t>Fri</t>
        </is>
      </c>
      <c r="C432" t="inlineStr">
        <is>
          <t>Micko Tanedo</t>
        </is>
      </c>
      <c r="D432" t="inlineStr">
        <is>
          <t>8am-4pm</t>
        </is>
      </c>
      <c r="E432" t="inlineStr">
        <is>
          <t>Present</t>
        </is>
      </c>
    </row>
    <row r="433">
      <c r="A433" t="inlineStr">
        <is>
          <t>2026-08-22</t>
        </is>
      </c>
      <c r="B433" t="inlineStr">
        <is>
          <t>Sat</t>
        </is>
      </c>
      <c r="C433" t="inlineStr">
        <is>
          <t>Alyssa</t>
        </is>
      </c>
      <c r="D433" t="inlineStr">
        <is>
          <t>4pm-12am</t>
        </is>
      </c>
      <c r="E433" t="inlineStr">
        <is>
          <t>Present</t>
        </is>
      </c>
    </row>
    <row r="434">
      <c r="A434" t="inlineStr">
        <is>
          <t>2026-08-22</t>
        </is>
      </c>
      <c r="B434" t="inlineStr">
        <is>
          <t>Sat</t>
        </is>
      </c>
      <c r="C434" t="inlineStr">
        <is>
          <t>John Manuel</t>
        </is>
      </c>
      <c r="D434" t="inlineStr">
        <is>
          <t>CANCEL OFF</t>
        </is>
      </c>
      <c r="E434" t="inlineStr">
        <is>
          <t>Present</t>
        </is>
      </c>
    </row>
    <row r="435">
      <c r="A435" t="inlineStr">
        <is>
          <t>2026-08-22</t>
        </is>
      </c>
      <c r="B435" t="inlineStr">
        <is>
          <t>Sat</t>
        </is>
      </c>
      <c r="C435" t="inlineStr">
        <is>
          <t>Micko Tanedo</t>
        </is>
      </c>
      <c r="D435" t="inlineStr">
        <is>
          <t>Cancel OFF</t>
        </is>
      </c>
      <c r="E435" t="inlineStr">
        <is>
          <t>Present</t>
        </is>
      </c>
    </row>
    <row r="436">
      <c r="A436" t="inlineStr">
        <is>
          <t>2026-08-23</t>
        </is>
      </c>
      <c r="B436" t="inlineStr">
        <is>
          <t>Sun</t>
        </is>
      </c>
      <c r="C436" t="inlineStr">
        <is>
          <t>Alyssa</t>
        </is>
      </c>
      <c r="D436" t="inlineStr">
        <is>
          <t>4pm-12am</t>
        </is>
      </c>
      <c r="E436" t="inlineStr">
        <is>
          <t>Present</t>
        </is>
      </c>
    </row>
    <row r="437">
      <c r="A437" t="inlineStr">
        <is>
          <t>2026-08-23</t>
        </is>
      </c>
      <c r="B437" t="inlineStr">
        <is>
          <t>Sun</t>
        </is>
      </c>
      <c r="C437" t="inlineStr">
        <is>
          <t>John Manuel</t>
        </is>
      </c>
      <c r="D437" t="inlineStr">
        <is>
          <t>12am-8am</t>
        </is>
      </c>
      <c r="E437" t="inlineStr">
        <is>
          <t>Present</t>
        </is>
      </c>
    </row>
    <row r="438">
      <c r="A438" t="inlineStr">
        <is>
          <t>2026-08-23</t>
        </is>
      </c>
      <c r="B438" t="inlineStr">
        <is>
          <t>Sun</t>
        </is>
      </c>
      <c r="C438" t="inlineStr">
        <is>
          <t>Micko Tanedo</t>
        </is>
      </c>
      <c r="D438" t="inlineStr">
        <is>
          <t>OFF</t>
        </is>
      </c>
      <c r="E438" t="inlineStr">
        <is>
          <t>-</t>
        </is>
      </c>
    </row>
    <row r="439">
      <c r="A439" t="inlineStr">
        <is>
          <t>2026-08-24</t>
        </is>
      </c>
      <c r="B439" t="inlineStr">
        <is>
          <t>Mon</t>
        </is>
      </c>
      <c r="C439" t="inlineStr">
        <is>
          <t>Alyssa</t>
        </is>
      </c>
      <c r="D439" t="inlineStr">
        <is>
          <t>CANCEL OFF</t>
        </is>
      </c>
      <c r="E439" t="inlineStr">
        <is>
          <t>Present</t>
        </is>
      </c>
    </row>
    <row r="440">
      <c r="A440" t="inlineStr">
        <is>
          <t>2026-08-24</t>
        </is>
      </c>
      <c r="B440" t="inlineStr">
        <is>
          <t>Mon</t>
        </is>
      </c>
      <c r="C440" t="inlineStr">
        <is>
          <t>John Manuel</t>
        </is>
      </c>
      <c r="D440" t="inlineStr">
        <is>
          <t>12am-8am</t>
        </is>
      </c>
      <c r="E440" t="inlineStr">
        <is>
          <t>Present</t>
        </is>
      </c>
    </row>
    <row r="441">
      <c r="A441" t="inlineStr">
        <is>
          <t>2026-08-24</t>
        </is>
      </c>
      <c r="B441" t="inlineStr">
        <is>
          <t>Mon</t>
        </is>
      </c>
      <c r="C441" t="inlineStr">
        <is>
          <t>Micko Tanedo</t>
        </is>
      </c>
      <c r="D441" t="inlineStr">
        <is>
          <t>8am-4pm</t>
        </is>
      </c>
      <c r="E441" t="inlineStr">
        <is>
          <t>Present</t>
        </is>
      </c>
    </row>
    <row r="442">
      <c r="A442" t="inlineStr">
        <is>
          <t>2026-08-25</t>
        </is>
      </c>
      <c r="B442" t="inlineStr">
        <is>
          <t>Tue</t>
        </is>
      </c>
      <c r="C442" t="inlineStr">
        <is>
          <t>Alyssa</t>
        </is>
      </c>
      <c r="D442" t="inlineStr">
        <is>
          <t>3pm-10pm</t>
        </is>
      </c>
      <c r="E442" t="inlineStr">
        <is>
          <t>Present</t>
        </is>
      </c>
    </row>
    <row r="443">
      <c r="A443" t="inlineStr">
        <is>
          <t>2026-08-25</t>
        </is>
      </c>
      <c r="B443" t="inlineStr">
        <is>
          <t>Tue</t>
        </is>
      </c>
      <c r="C443" t="inlineStr">
        <is>
          <t>John Manuel</t>
        </is>
      </c>
      <c r="D443" t="inlineStr">
        <is>
          <t>10pm-4am</t>
        </is>
      </c>
      <c r="E443" t="inlineStr">
        <is>
          <t>Present</t>
        </is>
      </c>
    </row>
    <row r="444">
      <c r="A444" t="inlineStr">
        <is>
          <t>2026-08-25</t>
        </is>
      </c>
      <c r="B444" t="inlineStr">
        <is>
          <t>Tue</t>
        </is>
      </c>
      <c r="C444" t="inlineStr">
        <is>
          <t>Micko Tanedo</t>
        </is>
      </c>
      <c r="D444" t="inlineStr">
        <is>
          <t>8am-3pm</t>
        </is>
      </c>
      <c r="E444" t="inlineStr">
        <is>
          <t>Present</t>
        </is>
      </c>
    </row>
    <row r="445">
      <c r="A445" t="inlineStr">
        <is>
          <t>2026-08-26</t>
        </is>
      </c>
      <c r="B445" t="inlineStr">
        <is>
          <t>Wed</t>
        </is>
      </c>
      <c r="C445" t="inlineStr">
        <is>
          <t>Alyssa</t>
        </is>
      </c>
      <c r="D445" t="inlineStr">
        <is>
          <t>4pm-12am</t>
        </is>
      </c>
      <c r="E445" t="inlineStr">
        <is>
          <t>Present</t>
        </is>
      </c>
    </row>
    <row r="446">
      <c r="A446" t="inlineStr">
        <is>
          <t>2026-08-26</t>
        </is>
      </c>
      <c r="B446" t="inlineStr">
        <is>
          <t>Wed</t>
        </is>
      </c>
      <c r="C446" t="inlineStr">
        <is>
          <t>John Manuel</t>
        </is>
      </c>
      <c r="D446" t="inlineStr">
        <is>
          <t>12am-8am</t>
        </is>
      </c>
      <c r="E446" t="inlineStr">
        <is>
          <t>Present</t>
        </is>
      </c>
    </row>
    <row r="447">
      <c r="A447" t="inlineStr">
        <is>
          <t>2026-08-26</t>
        </is>
      </c>
      <c r="B447" t="inlineStr">
        <is>
          <t>Wed</t>
        </is>
      </c>
      <c r="C447" t="inlineStr">
        <is>
          <t>Micko Tanedo</t>
        </is>
      </c>
      <c r="D447" t="inlineStr">
        <is>
          <t>OFF</t>
        </is>
      </c>
      <c r="E447" t="inlineStr">
        <is>
          <t>-</t>
        </is>
      </c>
    </row>
    <row r="448">
      <c r="A448" t="inlineStr">
        <is>
          <t>2026-08-27</t>
        </is>
      </c>
      <c r="B448" t="inlineStr">
        <is>
          <t>Thu</t>
        </is>
      </c>
      <c r="C448" t="inlineStr">
        <is>
          <t>Alyssa</t>
        </is>
      </c>
      <c r="D448" t="inlineStr">
        <is>
          <t>4pm-12am</t>
        </is>
      </c>
      <c r="E448" t="inlineStr">
        <is>
          <t>Present</t>
        </is>
      </c>
    </row>
    <row r="449">
      <c r="A449" t="inlineStr">
        <is>
          <t>2026-08-27</t>
        </is>
      </c>
      <c r="B449" t="inlineStr">
        <is>
          <t>Thu</t>
        </is>
      </c>
      <c r="C449" t="inlineStr">
        <is>
          <t>John Manuel</t>
        </is>
      </c>
      <c r="D449" t="inlineStr">
        <is>
          <t>CANCEL OFF</t>
        </is>
      </c>
      <c r="E449" t="inlineStr">
        <is>
          <t>Present</t>
        </is>
      </c>
    </row>
    <row r="450">
      <c r="A450" t="inlineStr">
        <is>
          <t>2026-08-27</t>
        </is>
      </c>
      <c r="B450" t="inlineStr">
        <is>
          <t>Thu</t>
        </is>
      </c>
      <c r="C450" t="inlineStr">
        <is>
          <t>Micko Tanedo</t>
        </is>
      </c>
      <c r="D450" t="inlineStr">
        <is>
          <t>8am-4pm</t>
        </is>
      </c>
      <c r="E450" t="inlineStr">
        <is>
          <t>Present</t>
        </is>
      </c>
    </row>
    <row r="451">
      <c r="A451" t="inlineStr">
        <is>
          <t>2026-08-28</t>
        </is>
      </c>
      <c r="B451" t="inlineStr">
        <is>
          <t>Fri</t>
        </is>
      </c>
      <c r="C451" t="inlineStr">
        <is>
          <t>Alyssa</t>
        </is>
      </c>
      <c r="D451" t="inlineStr">
        <is>
          <t>CANCEL OFF</t>
        </is>
      </c>
      <c r="E451" t="inlineStr">
        <is>
          <t>Present</t>
        </is>
      </c>
    </row>
    <row r="452">
      <c r="A452" t="inlineStr">
        <is>
          <t>2026-08-28</t>
        </is>
      </c>
      <c r="B452" t="inlineStr">
        <is>
          <t>Fri</t>
        </is>
      </c>
      <c r="C452" t="inlineStr">
        <is>
          <t>John Manuel</t>
        </is>
      </c>
      <c r="D452" t="inlineStr">
        <is>
          <t>12am-8am</t>
        </is>
      </c>
      <c r="E452" t="inlineStr">
        <is>
          <t>Present</t>
        </is>
      </c>
    </row>
    <row r="453">
      <c r="A453" t="inlineStr">
        <is>
          <t>2026-08-28</t>
        </is>
      </c>
      <c r="B453" t="inlineStr">
        <is>
          <t>Fri</t>
        </is>
      </c>
      <c r="C453" t="inlineStr">
        <is>
          <t>Micko Tanedo</t>
        </is>
      </c>
      <c r="D453" t="inlineStr">
        <is>
          <t>8am-4pm</t>
        </is>
      </c>
      <c r="E453" t="inlineStr">
        <is>
          <t>Present</t>
        </is>
      </c>
    </row>
    <row r="454">
      <c r="A454" t="inlineStr">
        <is>
          <t>2026-08-29</t>
        </is>
      </c>
      <c r="B454" t="inlineStr">
        <is>
          <t>Sat</t>
        </is>
      </c>
      <c r="C454" t="inlineStr">
        <is>
          <t>Alyssa</t>
        </is>
      </c>
      <c r="D454" t="inlineStr">
        <is>
          <t>4pm-12am</t>
        </is>
      </c>
      <c r="E454" t="inlineStr">
        <is>
          <t>Present</t>
        </is>
      </c>
    </row>
    <row r="455">
      <c r="A455" t="inlineStr">
        <is>
          <t>2026-08-29</t>
        </is>
      </c>
      <c r="B455" t="inlineStr">
        <is>
          <t>Sat</t>
        </is>
      </c>
      <c r="C455" t="inlineStr">
        <is>
          <t>John Manuel</t>
        </is>
      </c>
      <c r="D455" t="inlineStr">
        <is>
          <t>CANCEL OFF</t>
        </is>
      </c>
      <c r="E455" t="inlineStr">
        <is>
          <t>Present</t>
        </is>
      </c>
    </row>
    <row r="456">
      <c r="A456" t="inlineStr">
        <is>
          <t>2026-08-29</t>
        </is>
      </c>
      <c r="B456" t="inlineStr">
        <is>
          <t>Sat</t>
        </is>
      </c>
      <c r="C456" t="inlineStr">
        <is>
          <t>Micko Tanedo</t>
        </is>
      </c>
      <c r="D456" t="inlineStr">
        <is>
          <t>8am-4pm</t>
        </is>
      </c>
      <c r="E456" t="inlineStr">
        <is>
          <t>Present</t>
        </is>
      </c>
    </row>
    <row r="457">
      <c r="A457" t="inlineStr">
        <is>
          <t>2026-08-30</t>
        </is>
      </c>
      <c r="B457" t="inlineStr">
        <is>
          <t>Sun</t>
        </is>
      </c>
      <c r="C457" t="inlineStr">
        <is>
          <t>Alyssa</t>
        </is>
      </c>
      <c r="D457" t="inlineStr">
        <is>
          <t>4pm-12am</t>
        </is>
      </c>
      <c r="E457" t="inlineStr">
        <is>
          <t>Present</t>
        </is>
      </c>
    </row>
    <row r="458">
      <c r="A458" t="inlineStr">
        <is>
          <t>2026-08-30</t>
        </is>
      </c>
      <c r="B458" t="inlineStr">
        <is>
          <t>Sun</t>
        </is>
      </c>
      <c r="C458" t="inlineStr">
        <is>
          <t>John Manuel</t>
        </is>
      </c>
      <c r="D458" t="inlineStr">
        <is>
          <t>12am-8am</t>
        </is>
      </c>
      <c r="E458" t="inlineStr">
        <is>
          <t>Present</t>
        </is>
      </c>
    </row>
    <row r="459">
      <c r="A459" t="inlineStr">
        <is>
          <t>2026-08-30</t>
        </is>
      </c>
      <c r="B459" t="inlineStr">
        <is>
          <t>Sun</t>
        </is>
      </c>
      <c r="C459" t="inlineStr">
        <is>
          <t>Micko Tanedo</t>
        </is>
      </c>
      <c r="D459" t="inlineStr">
        <is>
          <t>OFF</t>
        </is>
      </c>
      <c r="E459" t="inlineStr">
        <is>
          <t>-</t>
        </is>
      </c>
    </row>
    <row r="460">
      <c r="A460" t="inlineStr">
        <is>
          <t>2026-08-31</t>
        </is>
      </c>
      <c r="B460" t="inlineStr">
        <is>
          <t>Mon</t>
        </is>
      </c>
      <c r="C460" t="inlineStr">
        <is>
          <t>Alyssa</t>
        </is>
      </c>
      <c r="D460" t="inlineStr">
        <is>
          <t>CANCEL OFF</t>
        </is>
      </c>
      <c r="E460" t="inlineStr">
        <is>
          <t>Present</t>
        </is>
      </c>
    </row>
    <row r="461">
      <c r="A461" t="inlineStr">
        <is>
          <t>2026-08-31</t>
        </is>
      </c>
      <c r="B461" t="inlineStr">
        <is>
          <t>Mon</t>
        </is>
      </c>
      <c r="C461" t="inlineStr">
        <is>
          <t>John Manuel</t>
        </is>
      </c>
      <c r="D461" t="inlineStr">
        <is>
          <t>12am-8am</t>
        </is>
      </c>
      <c r="E461" t="inlineStr">
        <is>
          <t>Present</t>
        </is>
      </c>
    </row>
    <row r="462">
      <c r="A462" t="inlineStr">
        <is>
          <t>2026-08-31</t>
        </is>
      </c>
      <c r="B462" t="inlineStr">
        <is>
          <t>Mon</t>
        </is>
      </c>
      <c r="C462" t="inlineStr">
        <is>
          <t>Micko Tanedo</t>
        </is>
      </c>
      <c r="D462" t="inlineStr">
        <is>
          <t>8am-4pm</t>
        </is>
      </c>
      <c r="E462" t="inlineStr">
        <is>
          <t>Present</t>
        </is>
      </c>
    </row>
    <row r="463">
      <c r="A463" t="inlineStr">
        <is>
          <t>2026-09-01</t>
        </is>
      </c>
      <c r="B463" t="inlineStr">
        <is>
          <t>Tue</t>
        </is>
      </c>
      <c r="C463" t="inlineStr">
        <is>
          <t>Alyssa</t>
        </is>
      </c>
      <c r="D463" t="inlineStr">
        <is>
          <t>3pm-10pm</t>
        </is>
      </c>
      <c r="E463" t="inlineStr">
        <is>
          <t>Present</t>
        </is>
      </c>
    </row>
    <row r="464">
      <c r="A464" t="inlineStr">
        <is>
          <t>2026-09-01</t>
        </is>
      </c>
      <c r="B464" t="inlineStr">
        <is>
          <t>Tue</t>
        </is>
      </c>
      <c r="C464" t="inlineStr">
        <is>
          <t>John Manuel</t>
        </is>
      </c>
      <c r="D464" t="inlineStr">
        <is>
          <t>10pm-4am</t>
        </is>
      </c>
      <c r="E464" t="inlineStr">
        <is>
          <t>Present</t>
        </is>
      </c>
    </row>
    <row r="465">
      <c r="A465" t="inlineStr">
        <is>
          <t>2026-09-01</t>
        </is>
      </c>
      <c r="B465" t="inlineStr">
        <is>
          <t>Tue</t>
        </is>
      </c>
      <c r="C465" t="inlineStr">
        <is>
          <t>Micko Tanedo</t>
        </is>
      </c>
      <c r="D465" t="inlineStr">
        <is>
          <t>8am-3pm</t>
        </is>
      </c>
      <c r="E465" t="inlineStr">
        <is>
          <t>Present</t>
        </is>
      </c>
    </row>
    <row r="466">
      <c r="A466" t="inlineStr">
        <is>
          <t>2026-09-02</t>
        </is>
      </c>
      <c r="B466" t="inlineStr">
        <is>
          <t>Wed</t>
        </is>
      </c>
      <c r="C466" t="inlineStr">
        <is>
          <t>Alyssa</t>
        </is>
      </c>
      <c r="D466" t="inlineStr">
        <is>
          <t>4pm-12am</t>
        </is>
      </c>
      <c r="E466" t="inlineStr">
        <is>
          <t>Present</t>
        </is>
      </c>
    </row>
    <row r="467">
      <c r="A467" t="inlineStr">
        <is>
          <t>2026-09-02</t>
        </is>
      </c>
      <c r="B467" t="inlineStr">
        <is>
          <t>Wed</t>
        </is>
      </c>
      <c r="C467" t="inlineStr">
        <is>
          <t>John Manuel</t>
        </is>
      </c>
      <c r="D467" t="inlineStr">
        <is>
          <t>12am-8am</t>
        </is>
      </c>
      <c r="E467" t="inlineStr">
        <is>
          <t>Present</t>
        </is>
      </c>
    </row>
    <row r="468">
      <c r="A468" t="inlineStr">
        <is>
          <t>2026-09-02</t>
        </is>
      </c>
      <c r="B468" t="inlineStr">
        <is>
          <t>Wed</t>
        </is>
      </c>
      <c r="C468" t="inlineStr">
        <is>
          <t>Micko Tanedo</t>
        </is>
      </c>
      <c r="D468" t="inlineStr">
        <is>
          <t>OFF</t>
        </is>
      </c>
      <c r="E468" t="inlineStr">
        <is>
          <t>-</t>
        </is>
      </c>
    </row>
    <row r="469">
      <c r="A469" t="inlineStr">
        <is>
          <t>2026-09-03</t>
        </is>
      </c>
      <c r="B469" t="inlineStr">
        <is>
          <t>Thu</t>
        </is>
      </c>
      <c r="C469" t="inlineStr">
        <is>
          <t>Alyssa</t>
        </is>
      </c>
      <c r="D469" t="inlineStr">
        <is>
          <t>4pm-12am</t>
        </is>
      </c>
      <c r="E469" t="inlineStr">
        <is>
          <t>Present</t>
        </is>
      </c>
    </row>
    <row r="470">
      <c r="A470" t="inlineStr">
        <is>
          <t>2026-09-03</t>
        </is>
      </c>
      <c r="B470" t="inlineStr">
        <is>
          <t>Thu</t>
        </is>
      </c>
      <c r="C470" t="inlineStr">
        <is>
          <t>John Manuel</t>
        </is>
      </c>
      <c r="D470" t="inlineStr">
        <is>
          <t>CANCEL OFF</t>
        </is>
      </c>
      <c r="E470" t="inlineStr">
        <is>
          <t>Present</t>
        </is>
      </c>
    </row>
    <row r="471">
      <c r="A471" t="inlineStr">
        <is>
          <t>2026-09-03</t>
        </is>
      </c>
      <c r="B471" t="inlineStr">
        <is>
          <t>Thu</t>
        </is>
      </c>
      <c r="C471" t="inlineStr">
        <is>
          <t>Micko Tanedo</t>
        </is>
      </c>
      <c r="D471" t="inlineStr">
        <is>
          <t>8am-4pm</t>
        </is>
      </c>
      <c r="E471" t="inlineStr">
        <is>
          <t>Present</t>
        </is>
      </c>
    </row>
    <row r="472">
      <c r="A472" t="inlineStr">
        <is>
          <t>2026-09-04</t>
        </is>
      </c>
      <c r="B472" t="inlineStr">
        <is>
          <t>Fri</t>
        </is>
      </c>
      <c r="C472" t="inlineStr">
        <is>
          <t>Alyssa</t>
        </is>
      </c>
      <c r="D472" t="inlineStr">
        <is>
          <t>CANCEL OFF</t>
        </is>
      </c>
      <c r="E472" t="inlineStr">
        <is>
          <t>Present</t>
        </is>
      </c>
    </row>
    <row r="473">
      <c r="A473" t="inlineStr">
        <is>
          <t>2026-09-04</t>
        </is>
      </c>
      <c r="B473" t="inlineStr">
        <is>
          <t>Fri</t>
        </is>
      </c>
      <c r="C473" t="inlineStr">
        <is>
          <t>John Manuel</t>
        </is>
      </c>
      <c r="D473" t="inlineStr">
        <is>
          <t>12am-8am</t>
        </is>
      </c>
      <c r="E473" t="inlineStr">
        <is>
          <t>Present</t>
        </is>
      </c>
    </row>
    <row r="474">
      <c r="A474" t="inlineStr">
        <is>
          <t>2026-09-04</t>
        </is>
      </c>
      <c r="B474" t="inlineStr">
        <is>
          <t>Fri</t>
        </is>
      </c>
      <c r="C474" t="inlineStr">
        <is>
          <t>Micko Tanedo</t>
        </is>
      </c>
      <c r="D474" t="inlineStr">
        <is>
          <t>8am-4pm</t>
        </is>
      </c>
      <c r="E474" t="inlineStr">
        <is>
          <t>Present</t>
        </is>
      </c>
    </row>
    <row r="475">
      <c r="A475" t="inlineStr">
        <is>
          <t>2026-09-05</t>
        </is>
      </c>
      <c r="B475" t="inlineStr">
        <is>
          <t>Sat</t>
        </is>
      </c>
      <c r="C475" t="inlineStr">
        <is>
          <t>Alyssa</t>
        </is>
      </c>
      <c r="D475" t="inlineStr">
        <is>
          <t>4pm-12am</t>
        </is>
      </c>
      <c r="E475" t="inlineStr">
        <is>
          <t>Present</t>
        </is>
      </c>
    </row>
    <row r="476">
      <c r="A476" t="inlineStr">
        <is>
          <t>2026-09-05</t>
        </is>
      </c>
      <c r="B476" t="inlineStr">
        <is>
          <t>Sat</t>
        </is>
      </c>
      <c r="C476" t="inlineStr">
        <is>
          <t>John Manuel</t>
        </is>
      </c>
      <c r="D476" t="inlineStr">
        <is>
          <t>OFF</t>
        </is>
      </c>
      <c r="E476" t="inlineStr">
        <is>
          <t>-</t>
        </is>
      </c>
    </row>
    <row r="477">
      <c r="A477" t="inlineStr">
        <is>
          <t>2026-09-05</t>
        </is>
      </c>
      <c r="B477" t="inlineStr">
        <is>
          <t>Sat</t>
        </is>
      </c>
      <c r="C477" t="inlineStr">
        <is>
          <t>Micko Tanedo</t>
        </is>
      </c>
      <c r="D477" t="inlineStr">
        <is>
          <t>8am-4pm</t>
        </is>
      </c>
      <c r="E477" t="inlineStr">
        <is>
          <t>Present</t>
        </is>
      </c>
    </row>
    <row r="478">
      <c r="A478" t="inlineStr">
        <is>
          <t>2026-09-06</t>
        </is>
      </c>
      <c r="B478" t="inlineStr">
        <is>
          <t>Sun</t>
        </is>
      </c>
      <c r="C478" t="inlineStr">
        <is>
          <t>Alyssa</t>
        </is>
      </c>
      <c r="D478" t="inlineStr">
        <is>
          <t>4pm-12am</t>
        </is>
      </c>
      <c r="E478" t="inlineStr">
        <is>
          <t>Present</t>
        </is>
      </c>
    </row>
    <row r="479">
      <c r="A479" t="inlineStr">
        <is>
          <t>2026-09-06</t>
        </is>
      </c>
      <c r="B479" t="inlineStr">
        <is>
          <t>Sun</t>
        </is>
      </c>
      <c r="C479" t="inlineStr">
        <is>
          <t>John Manuel</t>
        </is>
      </c>
      <c r="D479" t="inlineStr">
        <is>
          <t>12am-8am</t>
        </is>
      </c>
      <c r="E479" t="inlineStr">
        <is>
          <t>Present</t>
        </is>
      </c>
    </row>
    <row r="480">
      <c r="A480" t="inlineStr">
        <is>
          <t>2026-09-06</t>
        </is>
      </c>
      <c r="B480" t="inlineStr">
        <is>
          <t>Sun</t>
        </is>
      </c>
      <c r="C480" t="inlineStr">
        <is>
          <t>Micko Tanedo</t>
        </is>
      </c>
      <c r="D480" t="inlineStr">
        <is>
          <t>CANCEL OFF</t>
        </is>
      </c>
      <c r="E480" t="inlineStr">
        <is>
          <t>Present</t>
        </is>
      </c>
    </row>
    <row r="481">
      <c r="A481" t="inlineStr">
        <is>
          <t>2026-09-07</t>
        </is>
      </c>
      <c r="B481" t="inlineStr">
        <is>
          <t>Mon</t>
        </is>
      </c>
      <c r="C481" t="inlineStr">
        <is>
          <t>Alyssa</t>
        </is>
      </c>
      <c r="D481" t="inlineStr">
        <is>
          <t>CANCEL OFF</t>
        </is>
      </c>
      <c r="E481" t="inlineStr">
        <is>
          <t>Present</t>
        </is>
      </c>
    </row>
    <row r="482">
      <c r="A482" t="inlineStr">
        <is>
          <t>2026-09-07</t>
        </is>
      </c>
      <c r="B482" t="inlineStr">
        <is>
          <t>Mon</t>
        </is>
      </c>
      <c r="C482" t="inlineStr">
        <is>
          <t>John Manuel</t>
        </is>
      </c>
      <c r="D482" t="inlineStr">
        <is>
          <t>12am-8am</t>
        </is>
      </c>
      <c r="E482" t="inlineStr">
        <is>
          <t>Present</t>
        </is>
      </c>
    </row>
    <row r="483">
      <c r="A483" t="inlineStr">
        <is>
          <t>2026-09-07</t>
        </is>
      </c>
      <c r="B483" t="inlineStr">
        <is>
          <t>Mon</t>
        </is>
      </c>
      <c r="C483" t="inlineStr">
        <is>
          <t>Micko Tanedo</t>
        </is>
      </c>
      <c r="D483" t="inlineStr">
        <is>
          <t>8am-4pm</t>
        </is>
      </c>
      <c r="E483" t="inlineStr">
        <is>
          <t>Present</t>
        </is>
      </c>
    </row>
    <row r="484">
      <c r="A484" t="inlineStr">
        <is>
          <t>2026-09-08</t>
        </is>
      </c>
      <c r="B484" t="inlineStr">
        <is>
          <t>Tue</t>
        </is>
      </c>
      <c r="C484" t="inlineStr">
        <is>
          <t>Alyssa</t>
        </is>
      </c>
      <c r="D484" t="inlineStr">
        <is>
          <t>3pm-10pm</t>
        </is>
      </c>
      <c r="E484" t="inlineStr">
        <is>
          <t>Present</t>
        </is>
      </c>
    </row>
    <row r="485">
      <c r="A485" t="inlineStr">
        <is>
          <t>2026-09-08</t>
        </is>
      </c>
      <c r="B485" t="inlineStr">
        <is>
          <t>Tue</t>
        </is>
      </c>
      <c r="C485" t="inlineStr">
        <is>
          <t>John Manuel</t>
        </is>
      </c>
      <c r="D485" t="inlineStr">
        <is>
          <t>10pm-4am</t>
        </is>
      </c>
      <c r="E485" t="inlineStr">
        <is>
          <t>Present</t>
        </is>
      </c>
    </row>
    <row r="486">
      <c r="A486" t="inlineStr">
        <is>
          <t>2026-09-08</t>
        </is>
      </c>
      <c r="B486" t="inlineStr">
        <is>
          <t>Tue</t>
        </is>
      </c>
      <c r="C486" t="inlineStr">
        <is>
          <t>Micko Tanedo</t>
        </is>
      </c>
      <c r="D486" t="inlineStr">
        <is>
          <t>8am-3pm</t>
        </is>
      </c>
      <c r="E486" t="inlineStr">
        <is>
          <t>Present</t>
        </is>
      </c>
    </row>
    <row r="487">
      <c r="A487" t="inlineStr">
        <is>
          <t>2026-09-09</t>
        </is>
      </c>
      <c r="B487" t="inlineStr">
        <is>
          <t>Wed</t>
        </is>
      </c>
      <c r="C487" t="inlineStr">
        <is>
          <t>Alyssa</t>
        </is>
      </c>
      <c r="D487" t="inlineStr">
        <is>
          <t>4pm-12am</t>
        </is>
      </c>
      <c r="E487" t="inlineStr">
        <is>
          <t>Present</t>
        </is>
      </c>
    </row>
    <row r="488">
      <c r="A488" t="inlineStr">
        <is>
          <t>2026-09-09</t>
        </is>
      </c>
      <c r="B488" t="inlineStr">
        <is>
          <t>Wed</t>
        </is>
      </c>
      <c r="C488" t="inlineStr">
        <is>
          <t>John Manuel</t>
        </is>
      </c>
      <c r="D488" t="inlineStr">
        <is>
          <t>12am-8am</t>
        </is>
      </c>
      <c r="E488" t="inlineStr">
        <is>
          <t>Present</t>
        </is>
      </c>
    </row>
    <row r="489">
      <c r="A489" t="inlineStr">
        <is>
          <t>2026-09-09</t>
        </is>
      </c>
      <c r="B489" t="inlineStr">
        <is>
          <t>Wed</t>
        </is>
      </c>
      <c r="C489" t="inlineStr">
        <is>
          <t>Micko Tanedo</t>
        </is>
      </c>
      <c r="D489" t="inlineStr">
        <is>
          <t>CANCEL OFF</t>
        </is>
      </c>
      <c r="E489" t="inlineStr">
        <is>
          <t>Present</t>
        </is>
      </c>
    </row>
    <row r="490">
      <c r="A490" t="inlineStr">
        <is>
          <t>2026-09-10</t>
        </is>
      </c>
      <c r="B490" t="inlineStr">
        <is>
          <t>Thu</t>
        </is>
      </c>
      <c r="C490" t="inlineStr">
        <is>
          <t>Alyssa</t>
        </is>
      </c>
      <c r="D490" t="inlineStr">
        <is>
          <t>4pm-12am</t>
        </is>
      </c>
      <c r="E490" t="inlineStr">
        <is>
          <t>Present</t>
        </is>
      </c>
    </row>
    <row r="491">
      <c r="A491" t="inlineStr">
        <is>
          <t>2026-09-10</t>
        </is>
      </c>
      <c r="B491" t="inlineStr">
        <is>
          <t>Thu</t>
        </is>
      </c>
      <c r="C491" t="inlineStr">
        <is>
          <t>John Manuel</t>
        </is>
      </c>
      <c r="D491" t="inlineStr">
        <is>
          <t>CANCEL OFF</t>
        </is>
      </c>
      <c r="E491" t="inlineStr">
        <is>
          <t>Present</t>
        </is>
      </c>
    </row>
    <row r="492">
      <c r="A492" t="inlineStr">
        <is>
          <t>2026-09-10</t>
        </is>
      </c>
      <c r="B492" t="inlineStr">
        <is>
          <t>Thu</t>
        </is>
      </c>
      <c r="C492" t="inlineStr">
        <is>
          <t>Micko Tanedo</t>
        </is>
      </c>
      <c r="D492" t="inlineStr">
        <is>
          <t>8am-4pm</t>
        </is>
      </c>
      <c r="E492" t="inlineStr">
        <is>
          <t>Present</t>
        </is>
      </c>
    </row>
    <row r="493">
      <c r="A493" t="inlineStr">
        <is>
          <t>2026-09-11</t>
        </is>
      </c>
      <c r="B493" t="inlineStr">
        <is>
          <t>Fri</t>
        </is>
      </c>
      <c r="C493" t="inlineStr">
        <is>
          <t>Alyssa</t>
        </is>
      </c>
      <c r="D493" t="inlineStr">
        <is>
          <t>CANCEL OFF</t>
        </is>
      </c>
      <c r="E493" t="inlineStr">
        <is>
          <t>Present</t>
        </is>
      </c>
    </row>
    <row r="494">
      <c r="A494" t="inlineStr">
        <is>
          <t>2026-09-11</t>
        </is>
      </c>
      <c r="B494" t="inlineStr">
        <is>
          <t>Fri</t>
        </is>
      </c>
      <c r="C494" t="inlineStr">
        <is>
          <t>John Manuel</t>
        </is>
      </c>
      <c r="D494" t="inlineStr">
        <is>
          <t>12am-8am</t>
        </is>
      </c>
      <c r="E494" t="inlineStr">
        <is>
          <t>Present</t>
        </is>
      </c>
    </row>
    <row r="495">
      <c r="A495" t="inlineStr">
        <is>
          <t>2026-09-11</t>
        </is>
      </c>
      <c r="B495" t="inlineStr">
        <is>
          <t>Fri</t>
        </is>
      </c>
      <c r="C495" t="inlineStr">
        <is>
          <t>Micko Tanedo</t>
        </is>
      </c>
      <c r="D495" t="inlineStr">
        <is>
          <t>8am-4pm</t>
        </is>
      </c>
      <c r="E495" t="inlineStr">
        <is>
          <t>Present</t>
        </is>
      </c>
    </row>
    <row r="496">
      <c r="A496" t="inlineStr">
        <is>
          <t>2026-09-12</t>
        </is>
      </c>
      <c r="B496" t="inlineStr">
        <is>
          <t>Sat</t>
        </is>
      </c>
      <c r="C496" t="inlineStr">
        <is>
          <t>Alyssa</t>
        </is>
      </c>
      <c r="D496" t="inlineStr">
        <is>
          <t>4pm-12am</t>
        </is>
      </c>
      <c r="E496" t="inlineStr">
        <is>
          <t>Present</t>
        </is>
      </c>
    </row>
    <row r="497">
      <c r="A497" t="inlineStr">
        <is>
          <t>2026-09-12</t>
        </is>
      </c>
      <c r="B497" t="inlineStr">
        <is>
          <t>Sat</t>
        </is>
      </c>
      <c r="C497" t="inlineStr">
        <is>
          <t>John Manuel</t>
        </is>
      </c>
      <c r="D497" t="inlineStr">
        <is>
          <t>CANCEL OFF</t>
        </is>
      </c>
      <c r="E497" t="inlineStr">
        <is>
          <t>Present</t>
        </is>
      </c>
    </row>
    <row r="498">
      <c r="A498" t="inlineStr">
        <is>
          <t>2026-09-12</t>
        </is>
      </c>
      <c r="B498" t="inlineStr">
        <is>
          <t>Sat</t>
        </is>
      </c>
      <c r="C498" t="inlineStr">
        <is>
          <t>Micko Tanedo</t>
        </is>
      </c>
      <c r="D498" t="inlineStr">
        <is>
          <t>8am-4pm</t>
        </is>
      </c>
      <c r="E498" t="inlineStr">
        <is>
          <t>Present</t>
        </is>
      </c>
    </row>
    <row r="499">
      <c r="A499" t="inlineStr">
        <is>
          <t>2026-09-13</t>
        </is>
      </c>
      <c r="B499" t="inlineStr">
        <is>
          <t>Sun</t>
        </is>
      </c>
      <c r="C499" t="inlineStr">
        <is>
          <t>Alyssa</t>
        </is>
      </c>
      <c r="D499" t="inlineStr">
        <is>
          <t>CANCEL OFF</t>
        </is>
      </c>
      <c r="E499" t="inlineStr">
        <is>
          <t>Present</t>
        </is>
      </c>
    </row>
    <row r="500">
      <c r="A500" t="inlineStr">
        <is>
          <t>2026-09-13</t>
        </is>
      </c>
      <c r="B500" t="inlineStr">
        <is>
          <t>Sun</t>
        </is>
      </c>
      <c r="C500" t="inlineStr">
        <is>
          <t>John Manuel</t>
        </is>
      </c>
      <c r="D500" t="inlineStr">
        <is>
          <t>12am-8am</t>
        </is>
      </c>
      <c r="E500" t="inlineStr">
        <is>
          <t>Present</t>
        </is>
      </c>
    </row>
    <row r="501">
      <c r="A501" t="inlineStr">
        <is>
          <t>2026-09-13</t>
        </is>
      </c>
      <c r="B501" t="inlineStr">
        <is>
          <t>Sun</t>
        </is>
      </c>
      <c r="C501" t="inlineStr">
        <is>
          <t>Micko Tanedo</t>
        </is>
      </c>
      <c r="D501" t="inlineStr">
        <is>
          <t>CANCEL OFF</t>
        </is>
      </c>
      <c r="E501" t="inlineStr">
        <is>
          <t>Present</t>
        </is>
      </c>
    </row>
    <row r="502">
      <c r="A502" t="inlineStr">
        <is>
          <t>2026-09-14</t>
        </is>
      </c>
      <c r="B502" t="inlineStr">
        <is>
          <t>Mon</t>
        </is>
      </c>
      <c r="C502" t="inlineStr">
        <is>
          <t>Alyssa</t>
        </is>
      </c>
      <c r="D502" t="inlineStr">
        <is>
          <t>4pm-12am</t>
        </is>
      </c>
      <c r="E502" t="inlineStr">
        <is>
          <t>Present</t>
        </is>
      </c>
    </row>
    <row r="503">
      <c r="A503" t="inlineStr">
        <is>
          <t>2026-09-14</t>
        </is>
      </c>
      <c r="B503" t="inlineStr">
        <is>
          <t>Mon</t>
        </is>
      </c>
      <c r="C503" t="inlineStr">
        <is>
          <t>John Manuel</t>
        </is>
      </c>
      <c r="D503" t="inlineStr">
        <is>
          <t>12am-8am</t>
        </is>
      </c>
      <c r="E503" t="inlineStr">
        <is>
          <t>Present</t>
        </is>
      </c>
    </row>
    <row r="504">
      <c r="A504" t="inlineStr">
        <is>
          <t>2026-09-14</t>
        </is>
      </c>
      <c r="B504" t="inlineStr">
        <is>
          <t>Mon</t>
        </is>
      </c>
      <c r="C504" t="inlineStr">
        <is>
          <t>Micko Tanedo</t>
        </is>
      </c>
      <c r="D504" t="inlineStr">
        <is>
          <t>8am-4pm</t>
        </is>
      </c>
      <c r="E504" t="inlineStr">
        <is>
          <t>Present</t>
        </is>
      </c>
    </row>
    <row r="505">
      <c r="A505" t="inlineStr">
        <is>
          <t>2026-09-15</t>
        </is>
      </c>
      <c r="B505" t="inlineStr">
        <is>
          <t>Tue</t>
        </is>
      </c>
      <c r="C505" t="inlineStr">
        <is>
          <t>Alyssa</t>
        </is>
      </c>
      <c r="D505" t="inlineStr">
        <is>
          <t>3pm-10pm</t>
        </is>
      </c>
      <c r="E505" t="inlineStr">
        <is>
          <t>Present</t>
        </is>
      </c>
    </row>
    <row r="506">
      <c r="A506" t="inlineStr">
        <is>
          <t>2026-09-15</t>
        </is>
      </c>
      <c r="B506" t="inlineStr">
        <is>
          <t>Tue</t>
        </is>
      </c>
      <c r="C506" t="inlineStr">
        <is>
          <t>John Manuel</t>
        </is>
      </c>
      <c r="D506" t="inlineStr">
        <is>
          <t>10pm-4am</t>
        </is>
      </c>
      <c r="E506" t="inlineStr">
        <is>
          <t>Present</t>
        </is>
      </c>
    </row>
    <row r="507">
      <c r="A507" t="inlineStr">
        <is>
          <t>2026-09-15</t>
        </is>
      </c>
      <c r="B507" t="inlineStr">
        <is>
          <t>Tue</t>
        </is>
      </c>
      <c r="C507" t="inlineStr">
        <is>
          <t>Micko Tanedo</t>
        </is>
      </c>
      <c r="D507" t="inlineStr">
        <is>
          <t>8am-3pm</t>
        </is>
      </c>
      <c r="E507" t="inlineStr">
        <is>
          <t>Present</t>
        </is>
      </c>
    </row>
    <row r="508">
      <c r="A508" t="inlineStr">
        <is>
          <t>2026-09-16</t>
        </is>
      </c>
      <c r="B508" t="inlineStr">
        <is>
          <t>Wed</t>
        </is>
      </c>
      <c r="C508" t="inlineStr">
        <is>
          <t>Alyssa</t>
        </is>
      </c>
      <c r="D508" t="inlineStr">
        <is>
          <t>4pm-12am</t>
        </is>
      </c>
      <c r="E508" t="inlineStr">
        <is>
          <t>Present</t>
        </is>
      </c>
    </row>
    <row r="509">
      <c r="A509" t="inlineStr">
        <is>
          <t>2026-09-16</t>
        </is>
      </c>
      <c r="B509" t="inlineStr">
        <is>
          <t>Wed</t>
        </is>
      </c>
      <c r="C509" t="inlineStr">
        <is>
          <t>John Manuel</t>
        </is>
      </c>
      <c r="D509" t="inlineStr">
        <is>
          <t>12am-8am</t>
        </is>
      </c>
      <c r="E509" t="inlineStr">
        <is>
          <t>Present</t>
        </is>
      </c>
    </row>
    <row r="510">
      <c r="A510" t="inlineStr">
        <is>
          <t>2026-09-16</t>
        </is>
      </c>
      <c r="B510" t="inlineStr">
        <is>
          <t>Wed</t>
        </is>
      </c>
      <c r="C510" t="inlineStr">
        <is>
          <t>Micko Tanedo</t>
        </is>
      </c>
      <c r="D510" t="inlineStr">
        <is>
          <t>CANCEL OFF</t>
        </is>
      </c>
      <c r="E510" t="inlineStr">
        <is>
          <t>Present</t>
        </is>
      </c>
    </row>
    <row r="511">
      <c r="A511" t="inlineStr">
        <is>
          <t>2026-09-17</t>
        </is>
      </c>
      <c r="B511" t="inlineStr">
        <is>
          <t>Thu</t>
        </is>
      </c>
      <c r="C511" t="inlineStr">
        <is>
          <t>Alyssa</t>
        </is>
      </c>
      <c r="D511" t="inlineStr">
        <is>
          <t>4pm-12am</t>
        </is>
      </c>
      <c r="E511" t="inlineStr">
        <is>
          <t>Present</t>
        </is>
      </c>
    </row>
    <row r="512">
      <c r="A512" t="inlineStr">
        <is>
          <t>2026-09-17</t>
        </is>
      </c>
      <c r="B512" t="inlineStr">
        <is>
          <t>Thu</t>
        </is>
      </c>
      <c r="C512" t="inlineStr">
        <is>
          <t>John Manuel</t>
        </is>
      </c>
      <c r="D512" t="inlineStr">
        <is>
          <t>CANCEL OFF</t>
        </is>
      </c>
      <c r="E512" t="inlineStr">
        <is>
          <t>Present</t>
        </is>
      </c>
    </row>
    <row r="513">
      <c r="A513" t="inlineStr">
        <is>
          <t>2026-09-17</t>
        </is>
      </c>
      <c r="B513" t="inlineStr">
        <is>
          <t>Thu</t>
        </is>
      </c>
      <c r="C513" t="inlineStr">
        <is>
          <t>Micko Tanedo</t>
        </is>
      </c>
      <c r="D513" t="inlineStr">
        <is>
          <t>8am-4pm</t>
        </is>
      </c>
      <c r="E513" t="inlineStr">
        <is>
          <t>Present</t>
        </is>
      </c>
    </row>
    <row r="514">
      <c r="A514" t="inlineStr">
        <is>
          <t>2026-09-18</t>
        </is>
      </c>
      <c r="B514" t="inlineStr">
        <is>
          <t>Fri</t>
        </is>
      </c>
      <c r="C514" t="inlineStr">
        <is>
          <t>Alyssa</t>
        </is>
      </c>
      <c r="D514" t="inlineStr">
        <is>
          <t>4pm-12am</t>
        </is>
      </c>
      <c r="E514" t="inlineStr">
        <is>
          <t>Present</t>
        </is>
      </c>
    </row>
    <row r="515">
      <c r="A515" t="inlineStr">
        <is>
          <t>2026-09-18</t>
        </is>
      </c>
      <c r="B515" t="inlineStr">
        <is>
          <t>Fri</t>
        </is>
      </c>
      <c r="C515" t="inlineStr">
        <is>
          <t>John Manuel</t>
        </is>
      </c>
      <c r="D515" t="inlineStr">
        <is>
          <t>12am-8am</t>
        </is>
      </c>
      <c r="E515" t="inlineStr">
        <is>
          <t>Present</t>
        </is>
      </c>
    </row>
    <row r="516">
      <c r="A516" t="inlineStr">
        <is>
          <t>2026-09-18</t>
        </is>
      </c>
      <c r="B516" t="inlineStr">
        <is>
          <t>Fri</t>
        </is>
      </c>
      <c r="C516" t="inlineStr">
        <is>
          <t>Micko Tanedo</t>
        </is>
      </c>
      <c r="D516" t="inlineStr">
        <is>
          <t>8am-4pm</t>
        </is>
      </c>
      <c r="E516" t="inlineStr">
        <is>
          <t>Present</t>
        </is>
      </c>
    </row>
    <row r="517">
      <c r="A517" t="inlineStr">
        <is>
          <t>2026-09-19</t>
        </is>
      </c>
      <c r="B517" t="inlineStr">
        <is>
          <t>Sat</t>
        </is>
      </c>
      <c r="C517" t="inlineStr">
        <is>
          <t>Alyssa</t>
        </is>
      </c>
      <c r="D517" t="inlineStr">
        <is>
          <t>CANCEL OFF</t>
        </is>
      </c>
      <c r="E517" t="inlineStr">
        <is>
          <t>Present</t>
        </is>
      </c>
    </row>
    <row r="518">
      <c r="A518" t="inlineStr">
        <is>
          <t>2026-09-19</t>
        </is>
      </c>
      <c r="B518" t="inlineStr">
        <is>
          <t>Sat</t>
        </is>
      </c>
      <c r="C518" t="inlineStr">
        <is>
          <t>John Manuel</t>
        </is>
      </c>
      <c r="D518" t="inlineStr">
        <is>
          <t>CANCEL OFF</t>
        </is>
      </c>
      <c r="E518" t="inlineStr">
        <is>
          <t>Present</t>
        </is>
      </c>
    </row>
    <row r="519">
      <c r="A519" t="inlineStr">
        <is>
          <t>2026-09-19</t>
        </is>
      </c>
      <c r="B519" t="inlineStr">
        <is>
          <t>Sat</t>
        </is>
      </c>
      <c r="C519" t="inlineStr">
        <is>
          <t>Micko Tanedo</t>
        </is>
      </c>
      <c r="D519" t="inlineStr">
        <is>
          <t>8am-4pm</t>
        </is>
      </c>
      <c r="E519" t="inlineStr">
        <is>
          <t>Present</t>
        </is>
      </c>
    </row>
    <row r="520">
      <c r="A520" t="inlineStr">
        <is>
          <t>2026-09-20</t>
        </is>
      </c>
      <c r="B520" t="inlineStr">
        <is>
          <t>Sun</t>
        </is>
      </c>
      <c r="C520" t="inlineStr">
        <is>
          <t>Alyssa</t>
        </is>
      </c>
      <c r="D520" t="inlineStr">
        <is>
          <t>4pm-12am</t>
        </is>
      </c>
      <c r="E520" t="inlineStr">
        <is>
          <t>Present</t>
        </is>
      </c>
    </row>
    <row r="521">
      <c r="A521" t="inlineStr">
        <is>
          <t>2026-09-20</t>
        </is>
      </c>
      <c r="B521" t="inlineStr">
        <is>
          <t>Sun</t>
        </is>
      </c>
      <c r="C521" t="inlineStr">
        <is>
          <t>John Manuel</t>
        </is>
      </c>
      <c r="D521" t="inlineStr">
        <is>
          <t>12am-8am</t>
        </is>
      </c>
      <c r="E521" t="inlineStr">
        <is>
          <t>Present</t>
        </is>
      </c>
    </row>
    <row r="522">
      <c r="A522" t="inlineStr">
        <is>
          <t>2026-09-20</t>
        </is>
      </c>
      <c r="B522" t="inlineStr">
        <is>
          <t>Sun</t>
        </is>
      </c>
      <c r="C522" t="inlineStr">
        <is>
          <t>Micko Tanedo</t>
        </is>
      </c>
      <c r="D522" t="inlineStr">
        <is>
          <t>CANCEL OFF</t>
        </is>
      </c>
      <c r="E522" t="inlineStr">
        <is>
          <t>Present</t>
        </is>
      </c>
    </row>
    <row r="523">
      <c r="A523" t="inlineStr">
        <is>
          <t>2026-09-21</t>
        </is>
      </c>
      <c r="B523" t="inlineStr">
        <is>
          <t>Mon</t>
        </is>
      </c>
      <c r="C523" t="inlineStr">
        <is>
          <t>Alyssa</t>
        </is>
      </c>
      <c r="D523" t="inlineStr">
        <is>
          <t>CANCEL OFF</t>
        </is>
      </c>
      <c r="E523" t="inlineStr">
        <is>
          <t>Present</t>
        </is>
      </c>
    </row>
    <row r="524">
      <c r="A524" t="inlineStr">
        <is>
          <t>2026-09-21</t>
        </is>
      </c>
      <c r="B524" t="inlineStr">
        <is>
          <t>Mon</t>
        </is>
      </c>
      <c r="C524" t="inlineStr">
        <is>
          <t>John Manuel</t>
        </is>
      </c>
      <c r="D524" t="inlineStr">
        <is>
          <t>12am-8am</t>
        </is>
      </c>
      <c r="E524" t="inlineStr">
        <is>
          <t>Present</t>
        </is>
      </c>
    </row>
    <row r="525">
      <c r="A525" t="inlineStr">
        <is>
          <t>2026-09-21</t>
        </is>
      </c>
      <c r="B525" t="inlineStr">
        <is>
          <t>Mon</t>
        </is>
      </c>
      <c r="C525" t="inlineStr">
        <is>
          <t>Micko Tanedo</t>
        </is>
      </c>
      <c r="D525" t="inlineStr">
        <is>
          <t>8am-4pm</t>
        </is>
      </c>
      <c r="E525" t="inlineStr">
        <is>
          <t>Present</t>
        </is>
      </c>
    </row>
    <row r="526">
      <c r="A526" t="inlineStr">
        <is>
          <t>2026-09-22</t>
        </is>
      </c>
      <c r="B526" t="inlineStr">
        <is>
          <t>Tue</t>
        </is>
      </c>
      <c r="C526" t="inlineStr">
        <is>
          <t>Alyssa</t>
        </is>
      </c>
      <c r="D526" t="inlineStr">
        <is>
          <t>3pm-10pm</t>
        </is>
      </c>
      <c r="E526" t="inlineStr">
        <is>
          <t>Present</t>
        </is>
      </c>
    </row>
    <row r="527">
      <c r="A527" t="inlineStr">
        <is>
          <t>2026-09-22</t>
        </is>
      </c>
      <c r="B527" t="inlineStr">
        <is>
          <t>Tue</t>
        </is>
      </c>
      <c r="C527" t="inlineStr">
        <is>
          <t>John Manuel</t>
        </is>
      </c>
      <c r="D527" t="inlineStr">
        <is>
          <t>10pm-4am</t>
        </is>
      </c>
      <c r="E527" t="inlineStr">
        <is>
          <t>Present</t>
        </is>
      </c>
    </row>
    <row r="528">
      <c r="A528" t="inlineStr">
        <is>
          <t>2026-09-22</t>
        </is>
      </c>
      <c r="B528" t="inlineStr">
        <is>
          <t>Tue</t>
        </is>
      </c>
      <c r="C528" t="inlineStr">
        <is>
          <t>Micko Tanedo</t>
        </is>
      </c>
      <c r="D528" t="inlineStr">
        <is>
          <t>8am-3pm</t>
        </is>
      </c>
      <c r="E528" t="inlineStr">
        <is>
          <t>Present</t>
        </is>
      </c>
    </row>
    <row r="529">
      <c r="A529" t="inlineStr">
        <is>
          <t>2026-09-23</t>
        </is>
      </c>
      <c r="B529" t="inlineStr">
        <is>
          <t>Wed</t>
        </is>
      </c>
      <c r="C529" t="inlineStr">
        <is>
          <t>Alyssa</t>
        </is>
      </c>
      <c r="D529" t="inlineStr">
        <is>
          <t>4pm-12am</t>
        </is>
      </c>
      <c r="E529" t="inlineStr">
        <is>
          <t>Present</t>
        </is>
      </c>
    </row>
    <row r="530">
      <c r="A530" t="inlineStr">
        <is>
          <t>2026-09-23</t>
        </is>
      </c>
      <c r="B530" t="inlineStr">
        <is>
          <t>Wed</t>
        </is>
      </c>
      <c r="C530" t="inlineStr">
        <is>
          <t>John Manuel</t>
        </is>
      </c>
      <c r="D530" t="inlineStr">
        <is>
          <t>12am-8am</t>
        </is>
      </c>
      <c r="E530" t="inlineStr">
        <is>
          <t>Present</t>
        </is>
      </c>
    </row>
    <row r="531">
      <c r="A531" t="inlineStr">
        <is>
          <t>2026-09-23</t>
        </is>
      </c>
      <c r="B531" t="inlineStr">
        <is>
          <t>Wed</t>
        </is>
      </c>
      <c r="C531" t="inlineStr">
        <is>
          <t>Micko Tanedo</t>
        </is>
      </c>
      <c r="D531" t="inlineStr">
        <is>
          <t>CANCEL OFF</t>
        </is>
      </c>
      <c r="E531" t="inlineStr">
        <is>
          <t>Present</t>
        </is>
      </c>
    </row>
    <row r="532">
      <c r="A532" t="inlineStr">
        <is>
          <t>2026-09-24</t>
        </is>
      </c>
      <c r="B532" t="inlineStr">
        <is>
          <t>Thu</t>
        </is>
      </c>
      <c r="C532" t="inlineStr">
        <is>
          <t>Alyssa</t>
        </is>
      </c>
      <c r="D532" t="inlineStr">
        <is>
          <t>4pm-12am</t>
        </is>
      </c>
      <c r="E532" t="inlineStr">
        <is>
          <t>Present</t>
        </is>
      </c>
    </row>
    <row r="533">
      <c r="A533" t="inlineStr">
        <is>
          <t>2026-09-24</t>
        </is>
      </c>
      <c r="B533" t="inlineStr">
        <is>
          <t>Thu</t>
        </is>
      </c>
      <c r="C533" t="inlineStr">
        <is>
          <t>John Manuel</t>
        </is>
      </c>
      <c r="D533" t="inlineStr">
        <is>
          <t>CANCEL OFF</t>
        </is>
      </c>
      <c r="E533" t="inlineStr">
        <is>
          <t>Present</t>
        </is>
      </c>
    </row>
    <row r="534">
      <c r="A534" t="inlineStr">
        <is>
          <t>2026-09-24</t>
        </is>
      </c>
      <c r="B534" t="inlineStr">
        <is>
          <t>Thu</t>
        </is>
      </c>
      <c r="C534" t="inlineStr">
        <is>
          <t>Micko Tanedo</t>
        </is>
      </c>
      <c r="D534" t="inlineStr">
        <is>
          <t>8am-4pm</t>
        </is>
      </c>
      <c r="E534" t="inlineStr">
        <is>
          <t>Present</t>
        </is>
      </c>
    </row>
    <row r="535">
      <c r="A535" t="inlineStr">
        <is>
          <t>2026-09-25</t>
        </is>
      </c>
      <c r="B535" t="inlineStr">
        <is>
          <t>Fri</t>
        </is>
      </c>
      <c r="C535" t="inlineStr">
        <is>
          <t>Alyssa</t>
        </is>
      </c>
      <c r="D535" t="inlineStr">
        <is>
          <t>4pm-12am</t>
        </is>
      </c>
      <c r="E535" t="inlineStr">
        <is>
          <t>-</t>
        </is>
      </c>
    </row>
    <row r="536">
      <c r="A536" t="inlineStr">
        <is>
          <t>2026-09-25</t>
        </is>
      </c>
      <c r="B536" t="inlineStr">
        <is>
          <t>Fri</t>
        </is>
      </c>
      <c r="C536" t="inlineStr">
        <is>
          <t>John Manuel</t>
        </is>
      </c>
      <c r="D536" t="inlineStr">
        <is>
          <t>12am-8am</t>
        </is>
      </c>
      <c r="E536" t="inlineStr">
        <is>
          <t>-</t>
        </is>
      </c>
    </row>
    <row r="537">
      <c r="A537" t="inlineStr">
        <is>
          <t>2026-09-25</t>
        </is>
      </c>
      <c r="B537" t="inlineStr">
        <is>
          <t>Fri</t>
        </is>
      </c>
      <c r="C537" t="inlineStr">
        <is>
          <t>Micko Tanedo</t>
        </is>
      </c>
      <c r="D537" t="inlineStr">
        <is>
          <t>8am-4pm</t>
        </is>
      </c>
      <c r="E537" t="inlineStr">
        <is>
          <t>-</t>
        </is>
      </c>
    </row>
    <row r="538">
      <c r="A538" t="inlineStr">
        <is>
          <t>2026-09-26</t>
        </is>
      </c>
      <c r="B538" t="inlineStr">
        <is>
          <t>Sat</t>
        </is>
      </c>
      <c r="C538" t="inlineStr">
        <is>
          <t>Alyssa</t>
        </is>
      </c>
      <c r="D538" t="inlineStr">
        <is>
          <t>OFF</t>
        </is>
      </c>
      <c r="E538" t="inlineStr">
        <is>
          <t>-</t>
        </is>
      </c>
    </row>
    <row r="539">
      <c r="A539" t="inlineStr">
        <is>
          <t>2026-09-26</t>
        </is>
      </c>
      <c r="B539" t="inlineStr">
        <is>
          <t>Sat</t>
        </is>
      </c>
      <c r="C539" t="inlineStr">
        <is>
          <t>John Manuel</t>
        </is>
      </c>
      <c r="D539" t="inlineStr">
        <is>
          <t>OFF</t>
        </is>
      </c>
      <c r="E539" t="inlineStr">
        <is>
          <t>-</t>
        </is>
      </c>
    </row>
    <row r="540">
      <c r="A540" t="inlineStr">
        <is>
          <t>2026-09-26</t>
        </is>
      </c>
      <c r="B540" t="inlineStr">
        <is>
          <t>Sat</t>
        </is>
      </c>
      <c r="C540" t="inlineStr">
        <is>
          <t>Micko Tanedo</t>
        </is>
      </c>
      <c r="D540" t="inlineStr">
        <is>
          <t>8am-4pm</t>
        </is>
      </c>
      <c r="E540" t="inlineStr">
        <is>
          <t>-</t>
        </is>
      </c>
    </row>
    <row r="541">
      <c r="A541" t="inlineStr">
        <is>
          <t>2026-09-27</t>
        </is>
      </c>
      <c r="B541" t="inlineStr">
        <is>
          <t>Sun</t>
        </is>
      </c>
      <c r="C541" t="inlineStr">
        <is>
          <t>Alyssa</t>
        </is>
      </c>
      <c r="D541" t="inlineStr">
        <is>
          <t>4pm-12am</t>
        </is>
      </c>
    </row>
    <row r="542">
      <c r="A542" t="inlineStr">
        <is>
          <t>2026-09-27</t>
        </is>
      </c>
      <c r="B542" t="inlineStr">
        <is>
          <t>Sun</t>
        </is>
      </c>
      <c r="C542" t="inlineStr">
        <is>
          <t>John Manuel</t>
        </is>
      </c>
      <c r="D542" t="inlineStr">
        <is>
          <t>12am-8am</t>
        </is>
      </c>
    </row>
    <row r="543">
      <c r="A543" t="inlineStr">
        <is>
          <t>2026-09-27</t>
        </is>
      </c>
      <c r="B543" t="inlineStr">
        <is>
          <t>Sun</t>
        </is>
      </c>
      <c r="C543" t="inlineStr">
        <is>
          <t>Micko Tanedo</t>
        </is>
      </c>
      <c r="D543" t="inlineStr">
        <is>
          <t>CANCEL OFF</t>
        </is>
      </c>
    </row>
    <row r="544">
      <c r="A544" t="inlineStr">
        <is>
          <t>2026-09-28</t>
        </is>
      </c>
      <c r="B544" t="inlineStr">
        <is>
          <t>Mon</t>
        </is>
      </c>
      <c r="C544" t="inlineStr">
        <is>
          <t>Alyssa</t>
        </is>
      </c>
      <c r="D544" t="inlineStr">
        <is>
          <t>CANCEL OFF</t>
        </is>
      </c>
    </row>
    <row r="545">
      <c r="A545" t="inlineStr">
        <is>
          <t>2026-09-28</t>
        </is>
      </c>
      <c r="B545" t="inlineStr">
        <is>
          <t>Mon</t>
        </is>
      </c>
      <c r="C545" t="inlineStr">
        <is>
          <t>John Manuel</t>
        </is>
      </c>
      <c r="D545" t="inlineStr">
        <is>
          <t>12am-8am</t>
        </is>
      </c>
    </row>
    <row r="546">
      <c r="A546" t="inlineStr">
        <is>
          <t>2026-09-28</t>
        </is>
      </c>
      <c r="B546" t="inlineStr">
        <is>
          <t>Mon</t>
        </is>
      </c>
      <c r="C546" t="inlineStr">
        <is>
          <t>Micko Tanedo</t>
        </is>
      </c>
      <c r="D546" t="inlineStr">
        <is>
          <t>8am-4pm</t>
        </is>
      </c>
    </row>
    <row r="547">
      <c r="A547" t="inlineStr">
        <is>
          <t>2026-09-29</t>
        </is>
      </c>
      <c r="B547" t="inlineStr">
        <is>
          <t>Tue</t>
        </is>
      </c>
      <c r="C547" t="inlineStr">
        <is>
          <t>Alyssa</t>
        </is>
      </c>
      <c r="D547" t="inlineStr">
        <is>
          <t>3pm-10pm</t>
        </is>
      </c>
    </row>
    <row r="548">
      <c r="A548" t="inlineStr">
        <is>
          <t>2026-09-29</t>
        </is>
      </c>
      <c r="B548" t="inlineStr">
        <is>
          <t>Tue</t>
        </is>
      </c>
      <c r="C548" t="inlineStr">
        <is>
          <t>John Manuel</t>
        </is>
      </c>
      <c r="D548" t="inlineStr">
        <is>
          <t>10pm-4am</t>
        </is>
      </c>
    </row>
    <row r="549">
      <c r="A549" t="inlineStr">
        <is>
          <t>2026-09-29</t>
        </is>
      </c>
      <c r="B549" t="inlineStr">
        <is>
          <t>Tue</t>
        </is>
      </c>
      <c r="C549" t="inlineStr">
        <is>
          <t>Micko Tanedo</t>
        </is>
      </c>
      <c r="D549" t="inlineStr">
        <is>
          <t>8am-3pm</t>
        </is>
      </c>
    </row>
    <row r="550">
      <c r="A550" t="inlineStr">
        <is>
          <t>2026-09-30</t>
        </is>
      </c>
      <c r="B550" t="inlineStr">
        <is>
          <t>Wed</t>
        </is>
      </c>
      <c r="C550" t="inlineStr">
        <is>
          <t>Alyssa</t>
        </is>
      </c>
      <c r="D550" t="inlineStr">
        <is>
          <t>4pm-12am</t>
        </is>
      </c>
    </row>
    <row r="551">
      <c r="A551" t="inlineStr">
        <is>
          <t>2026-09-30</t>
        </is>
      </c>
      <c r="B551" t="inlineStr">
        <is>
          <t>Wed</t>
        </is>
      </c>
      <c r="C551" t="inlineStr">
        <is>
          <t>John Manuel</t>
        </is>
      </c>
      <c r="D551" t="inlineStr">
        <is>
          <t>12am-8am</t>
        </is>
      </c>
    </row>
    <row r="552">
      <c r="A552" t="inlineStr">
        <is>
          <t>2026-09-30</t>
        </is>
      </c>
      <c r="B552" t="inlineStr">
        <is>
          <t>Wed</t>
        </is>
      </c>
      <c r="C552" t="inlineStr">
        <is>
          <t>Micko Tanedo</t>
        </is>
      </c>
      <c r="D552" t="inlineStr">
        <is>
          <t>CANCEL OFF</t>
        </is>
      </c>
    </row>
    <row r="553">
      <c r="A553" t="inlineStr">
        <is>
          <t>2026-10-01</t>
        </is>
      </c>
      <c r="B553" t="inlineStr">
        <is>
          <t>Thu</t>
        </is>
      </c>
      <c r="C553" t="inlineStr">
        <is>
          <t>Alyssa</t>
        </is>
      </c>
      <c r="D553" t="inlineStr">
        <is>
          <t>4pm-12am</t>
        </is>
      </c>
    </row>
    <row r="554">
      <c r="A554" t="inlineStr">
        <is>
          <t>2026-10-01</t>
        </is>
      </c>
      <c r="B554" t="inlineStr">
        <is>
          <t>Thu</t>
        </is>
      </c>
      <c r="C554" t="inlineStr">
        <is>
          <t>John Manuel</t>
        </is>
      </c>
      <c r="D554" t="inlineStr">
        <is>
          <t>CANCEL OFF</t>
        </is>
      </c>
    </row>
    <row r="555">
      <c r="A555" t="inlineStr">
        <is>
          <t>2026-10-01</t>
        </is>
      </c>
      <c r="B555" t="inlineStr">
        <is>
          <t>Thu</t>
        </is>
      </c>
      <c r="C555" t="inlineStr">
        <is>
          <t>Micko Tanedo</t>
        </is>
      </c>
      <c r="D555" t="inlineStr">
        <is>
          <t>8am-4pm</t>
        </is>
      </c>
    </row>
    <row r="556">
      <c r="A556" t="inlineStr">
        <is>
          <t>2026-10-02</t>
        </is>
      </c>
      <c r="B556" t="inlineStr">
        <is>
          <t>Fri</t>
        </is>
      </c>
      <c r="C556" t="inlineStr">
        <is>
          <t>Alyssa</t>
        </is>
      </c>
      <c r="D556" t="inlineStr">
        <is>
          <t>4pm-12am</t>
        </is>
      </c>
    </row>
    <row r="557">
      <c r="A557" t="inlineStr">
        <is>
          <t>2026-10-02</t>
        </is>
      </c>
      <c r="B557" t="inlineStr">
        <is>
          <t>Fri</t>
        </is>
      </c>
      <c r="C557" t="inlineStr">
        <is>
          <t>John Manuel</t>
        </is>
      </c>
      <c r="D557" t="inlineStr">
        <is>
          <t>12am-8am</t>
        </is>
      </c>
    </row>
    <row r="558">
      <c r="A558" t="inlineStr">
        <is>
          <t>2026-10-02</t>
        </is>
      </c>
      <c r="B558" t="inlineStr">
        <is>
          <t>Fri</t>
        </is>
      </c>
      <c r="C558" t="inlineStr">
        <is>
          <t>Micko Tanedo</t>
        </is>
      </c>
      <c r="D558" t="inlineStr">
        <is>
          <t>8am-4pm</t>
        </is>
      </c>
    </row>
    <row r="559">
      <c r="A559" t="inlineStr">
        <is>
          <t>2026-10-03</t>
        </is>
      </c>
      <c r="B559" t="inlineStr">
        <is>
          <t>Sat</t>
        </is>
      </c>
      <c r="C559" t="inlineStr">
        <is>
          <t>Alyssa</t>
        </is>
      </c>
      <c r="D559" t="inlineStr">
        <is>
          <t>OFF</t>
        </is>
      </c>
    </row>
    <row r="560">
      <c r="A560" t="inlineStr">
        <is>
          <t>2026-10-03</t>
        </is>
      </c>
      <c r="B560" t="inlineStr">
        <is>
          <t>Sat</t>
        </is>
      </c>
      <c r="C560" t="inlineStr">
        <is>
          <t>John Manuel</t>
        </is>
      </c>
      <c r="D560" t="inlineStr">
        <is>
          <t>OFF</t>
        </is>
      </c>
    </row>
    <row r="561">
      <c r="A561" t="inlineStr">
        <is>
          <t>2026-10-03</t>
        </is>
      </c>
      <c r="B561" t="inlineStr">
        <is>
          <t>Sat</t>
        </is>
      </c>
      <c r="C561" t="inlineStr">
        <is>
          <t>Micko Tanedo</t>
        </is>
      </c>
      <c r="D561" t="inlineStr">
        <is>
          <t>8am-4pm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0" customWidth="1" min="4" max="4"/>
    <col width="9" customWidth="1" min="5" max="5"/>
    <col width="11" customWidth="1" min="6" max="6"/>
    <col width="12" customWidth="1" min="7" max="7"/>
    <col width="11" customWidth="1" min="8" max="8"/>
    <col width="8" customWidth="1" min="9" max="9"/>
    <col width="60" customWidth="1" min="10" max="10"/>
  </cols>
  <sheetData>
    <row r="1">
      <c r="A1" s="5" t="inlineStr">
        <is>
          <t>PAYROLL — 2-week pay period (auto: Schedule + TL hours + OT − Death Penalty, Incentives)</t>
        </is>
      </c>
    </row>
    <row r="2">
      <c r="A2" s="6" t="inlineStr">
        <is>
          <t>Period (Mon):</t>
        </is>
      </c>
      <c r="B2" s="7">
        <f>TEXT(DATEVALUE($G$2)+14*FLOOR((TODAY()-DATEVALUE($G$2))/14),"yyyy-mm-dd")</f>
        <v/>
      </c>
      <c r="C2" s="7">
        <f>TEXT(DATEVALUE($B$2)+7,"yyyy-mm-dd")</f>
        <v/>
      </c>
      <c r="D2" s="7">
        <f>TEXT(DATEVALUE($B$2)+13,"yyyy-mm-dd")</f>
        <v/>
      </c>
      <c r="F2" s="6" t="inlineStr">
        <is>
          <t>Anchor:</t>
        </is>
      </c>
      <c r="G2" t="inlineStr">
        <is>
          <t>2026-09-07</t>
        </is>
      </c>
      <c r="H2" s="8" t="inlineStr">
        <is>
          <t>← B2 = pay period start (a Monday; default = current period). Pay period = 2 weeks, Mon–Sun. C2 = week 2 start, D2 = period end, G2 = anchor Monday of any pay period.</t>
        </is>
      </c>
    </row>
    <row r="3">
      <c r="A3" s="8" t="inlineStr">
        <is>
          <t>Payable Hrs = Base(플레이어 시프트 + TL 근무) + OT − Death Penalty.  Incentives = Incentives 탭 금액 합계 (매니저 입력).</t>
        </is>
      </c>
    </row>
    <row r="4">
      <c r="A4" s="9" t="inlineStr">
        <is>
          <t>Staff</t>
        </is>
      </c>
      <c r="B4" s="9" t="inlineStr">
        <is>
          <t>Week 1 Hrs</t>
        </is>
      </c>
      <c r="C4" s="9" t="inlineStr">
        <is>
          <t>Week 2 Hrs</t>
        </is>
      </c>
      <c r="D4" s="9" t="inlineStr">
        <is>
          <t>Base Hrs</t>
        </is>
      </c>
      <c r="E4" s="9" t="inlineStr">
        <is>
          <t>OT Hrs</t>
        </is>
      </c>
      <c r="F4" s="9" t="inlineStr">
        <is>
          <t>Penalty Hrs</t>
        </is>
      </c>
      <c r="G4" s="9" t="inlineStr">
        <is>
          <t>Payable Hrs</t>
        </is>
      </c>
      <c r="H4" s="9" t="inlineStr">
        <is>
          <t>Incentives</t>
        </is>
      </c>
      <c r="I4" s="9" t="inlineStr">
        <is>
          <t>Shifts</t>
        </is>
      </c>
      <c r="J4" s="9" t="inlineStr">
        <is>
          <t>Characters</t>
        </is>
      </c>
    </row>
    <row r="5">
      <c r="A5" t="inlineStr">
        <is>
          <t>Adrian Torres</t>
        </is>
      </c>
      <c r="B5">
        <f>IF($A5="","",SUMIFS(Schedule!$P:$P,Schedule!$G:$G,$A5,Schedule!$U:$U,$B$2)+SUMIFS('TL Schedule'!$J:$J,'TL Schedule'!$C:$C,$A5,'TL Schedule'!$K:$K,$B$2))</f>
        <v/>
      </c>
      <c r="C5">
        <f>IF($A5="","",SUMIFS(Schedule!$P:$P,Schedule!$G:$G,$A5,Schedule!$U:$U,$C$2)+SUMIFS('TL Schedule'!$J:$J,'TL Schedule'!$C:$C,$A5,'TL Schedule'!$K:$K,$C$2))</f>
        <v/>
      </c>
      <c r="D5">
        <f>IF($A5="","",B5+C5)</f>
        <v/>
      </c>
      <c r="E5">
        <f>IF($A5="","",SUMIFS(Overtime!$H:$H,Overtime!$B:$B,$A5,Overtime!$N:$N,$B$2)+SUMIFS(Overtime!$H:$H,Overtime!$B:$B,$A5,Overtime!$N:$N,$C$2))</f>
        <v/>
      </c>
      <c r="F5">
        <f>IF($A5="","",SUMIFS('Death Penalty'!$E:$E,'Death Penalty'!$B:$B,$A5,'Death Penalty'!$L:$L,$B$2)+SUMIFS('Death Penalty'!$E:$E,'Death Penalty'!$B:$B,$A5,'Death Penalty'!$L:$L,$C$2))</f>
        <v/>
      </c>
      <c r="G5">
        <f>IF($A5="","",D5+E5-F5)</f>
        <v/>
      </c>
      <c r="H5">
        <f>IF($A5="","",SUMIFS(Incentives!$H:$H,Incentives!$B:$B,$A5,Incentives!$N:$N,$B$2)+SUMIFS(Incentives!$H:$H,Incentives!$B:$B,$A5,Incentives!$N:$N,$C$2))</f>
        <v/>
      </c>
      <c r="I5">
        <f>IF($A5="","",COUNTIFS(Schedule!$G:$G,$A5,Schedule!$U:$U,$B$2,Schedule!$P:$P,"&gt;0")+COUNTIFS('TL Schedule'!$C:$C,$A5,'TL Schedule'!$K:$K,$B$2,'TL Schedule'!$J:$J,"&gt;0")+COUNTIFS(Schedule!$G:$G,$A5,Schedule!$U:$U,$C$2,Schedule!$P:$P,"&gt;0")+COUNTIFS('TL Schedule'!$C:$C,$A5,'TL Schedule'!$K:$K,$C$2,'TL Schedule'!$J:$J,"&gt;0"))</f>
        <v/>
      </c>
      <c r="J5">
        <f>IF($A5="","",IFERROR(TEXTJOIN(", ",TRUE,UNIQUE(FILTER(Schedule!$D$2:$D50000,Schedule!$G$2:$G50000=$A5,Schedule!$P$2:$P50000&gt;0,((Schedule!$U$2:$U50000=$B$2)+(Schedule!$U$2:$U50000=$C$2))))),""))</f>
        <v/>
      </c>
    </row>
    <row r="6">
      <c r="A6" t="inlineStr">
        <is>
          <t>Alyssa</t>
        </is>
      </c>
      <c r="B6">
        <f>IF($A6="","",SUMIFS(Schedule!$P:$P,Schedule!$G:$G,$A6,Schedule!$U:$U,$B$2)+SUMIFS('TL Schedule'!$J:$J,'TL Schedule'!$C:$C,$A6,'TL Schedule'!$K:$K,$B$2))</f>
        <v/>
      </c>
      <c r="C6">
        <f>IF($A6="","",SUMIFS(Schedule!$P:$P,Schedule!$G:$G,$A6,Schedule!$U:$U,$C$2)+SUMIFS('TL Schedule'!$J:$J,'TL Schedule'!$C:$C,$A6,'TL Schedule'!$K:$K,$C$2))</f>
        <v/>
      </c>
      <c r="D6">
        <f>IF($A6="","",B6+C6)</f>
        <v/>
      </c>
      <c r="E6">
        <f>IF($A6="","",SUMIFS(Overtime!$H:$H,Overtime!$B:$B,$A6,Overtime!$N:$N,$B$2)+SUMIFS(Overtime!$H:$H,Overtime!$B:$B,$A6,Overtime!$N:$N,$C$2))</f>
        <v/>
      </c>
      <c r="F6">
        <f>IF($A6="","",SUMIFS('Death Penalty'!$E:$E,'Death Penalty'!$B:$B,$A6,'Death Penalty'!$L:$L,$B$2)+SUMIFS('Death Penalty'!$E:$E,'Death Penalty'!$B:$B,$A6,'Death Penalty'!$L:$L,$C$2))</f>
        <v/>
      </c>
      <c r="G6">
        <f>IF($A6="","",D6+E6-F6)</f>
        <v/>
      </c>
      <c r="H6">
        <f>IF($A6="","",SUMIFS(Incentives!$H:$H,Incentives!$B:$B,$A6,Incentives!$N:$N,$B$2)+SUMIFS(Incentives!$H:$H,Incentives!$B:$B,$A6,Incentives!$N:$N,$C$2))</f>
        <v/>
      </c>
      <c r="I6">
        <f>IF($A6="","",COUNTIFS(Schedule!$G:$G,$A6,Schedule!$U:$U,$B$2,Schedule!$P:$P,"&gt;0")+COUNTIFS('TL Schedule'!$C:$C,$A6,'TL Schedule'!$K:$K,$B$2,'TL Schedule'!$J:$J,"&gt;0")+COUNTIFS(Schedule!$G:$G,$A6,Schedule!$U:$U,$C$2,Schedule!$P:$P,"&gt;0")+COUNTIFS('TL Schedule'!$C:$C,$A6,'TL Schedule'!$K:$K,$C$2,'TL Schedule'!$J:$J,"&gt;0"))</f>
        <v/>
      </c>
      <c r="J6">
        <f>IF($A6="","",IFERROR(TEXTJOIN(", ",TRUE,UNIQUE(FILTER(Schedule!$D$2:$D50000,Schedule!$G$2:$G50000=$A6,Schedule!$P$2:$P50000&gt;0,((Schedule!$U$2:$U50000=$B$2)+(Schedule!$U$2:$U50000=$C$2))))),""))</f>
        <v/>
      </c>
    </row>
    <row r="7">
      <c r="A7" t="inlineStr">
        <is>
          <t>Angelo Diocales</t>
        </is>
      </c>
      <c r="B7">
        <f>IF($A7="","",SUMIFS(Schedule!$P:$P,Schedule!$G:$G,$A7,Schedule!$U:$U,$B$2)+SUMIFS('TL Schedule'!$J:$J,'TL Schedule'!$C:$C,$A7,'TL Schedule'!$K:$K,$B$2))</f>
        <v/>
      </c>
      <c r="C7">
        <f>IF($A7="","",SUMIFS(Schedule!$P:$P,Schedule!$G:$G,$A7,Schedule!$U:$U,$C$2)+SUMIFS('TL Schedule'!$J:$J,'TL Schedule'!$C:$C,$A7,'TL Schedule'!$K:$K,$C$2))</f>
        <v/>
      </c>
      <c r="D7">
        <f>IF($A7="","",B7+C7)</f>
        <v/>
      </c>
      <c r="E7">
        <f>IF($A7="","",SUMIFS(Overtime!$H:$H,Overtime!$B:$B,$A7,Overtime!$N:$N,$B$2)+SUMIFS(Overtime!$H:$H,Overtime!$B:$B,$A7,Overtime!$N:$N,$C$2))</f>
        <v/>
      </c>
      <c r="F7">
        <f>IF($A7="","",SUMIFS('Death Penalty'!$E:$E,'Death Penalty'!$B:$B,$A7,'Death Penalty'!$L:$L,$B$2)+SUMIFS('Death Penalty'!$E:$E,'Death Penalty'!$B:$B,$A7,'Death Penalty'!$L:$L,$C$2))</f>
        <v/>
      </c>
      <c r="G7">
        <f>IF($A7="","",D7+E7-F7)</f>
        <v/>
      </c>
      <c r="H7">
        <f>IF($A7="","",SUMIFS(Incentives!$H:$H,Incentives!$B:$B,$A7,Incentives!$N:$N,$B$2)+SUMIFS(Incentives!$H:$H,Incentives!$B:$B,$A7,Incentives!$N:$N,$C$2))</f>
        <v/>
      </c>
      <c r="I7">
        <f>IF($A7="","",COUNTIFS(Schedule!$G:$G,$A7,Schedule!$U:$U,$B$2,Schedule!$P:$P,"&gt;0")+COUNTIFS('TL Schedule'!$C:$C,$A7,'TL Schedule'!$K:$K,$B$2,'TL Schedule'!$J:$J,"&gt;0")+COUNTIFS(Schedule!$G:$G,$A7,Schedule!$U:$U,$C$2,Schedule!$P:$P,"&gt;0")+COUNTIFS('TL Schedule'!$C:$C,$A7,'TL Schedule'!$K:$K,$C$2,'TL Schedule'!$J:$J,"&gt;0"))</f>
        <v/>
      </c>
      <c r="J7">
        <f>IF($A7="","",IFERROR(TEXTJOIN(", ",TRUE,UNIQUE(FILTER(Schedule!$D$2:$D50000,Schedule!$G$2:$G50000=$A7,Schedule!$P$2:$P50000&gt;0,((Schedule!$U$2:$U50000=$B$2)+(Schedule!$U$2:$U50000=$C$2))))),""))</f>
        <v/>
      </c>
    </row>
    <row r="8">
      <c r="A8" t="inlineStr">
        <is>
          <t>Cath Valdez</t>
        </is>
      </c>
      <c r="B8">
        <f>IF($A8="","",SUMIFS(Schedule!$P:$P,Schedule!$G:$G,$A8,Schedule!$U:$U,$B$2)+SUMIFS('TL Schedule'!$J:$J,'TL Schedule'!$C:$C,$A8,'TL Schedule'!$K:$K,$B$2))</f>
        <v/>
      </c>
      <c r="C8">
        <f>IF($A8="","",SUMIFS(Schedule!$P:$P,Schedule!$G:$G,$A8,Schedule!$U:$U,$C$2)+SUMIFS('TL Schedule'!$J:$J,'TL Schedule'!$C:$C,$A8,'TL Schedule'!$K:$K,$C$2))</f>
        <v/>
      </c>
      <c r="D8">
        <f>IF($A8="","",B8+C8)</f>
        <v/>
      </c>
      <c r="E8">
        <f>IF($A8="","",SUMIFS(Overtime!$H:$H,Overtime!$B:$B,$A8,Overtime!$N:$N,$B$2)+SUMIFS(Overtime!$H:$H,Overtime!$B:$B,$A8,Overtime!$N:$N,$C$2))</f>
        <v/>
      </c>
      <c r="F8">
        <f>IF($A8="","",SUMIFS('Death Penalty'!$E:$E,'Death Penalty'!$B:$B,$A8,'Death Penalty'!$L:$L,$B$2)+SUMIFS('Death Penalty'!$E:$E,'Death Penalty'!$B:$B,$A8,'Death Penalty'!$L:$L,$C$2))</f>
        <v/>
      </c>
      <c r="G8">
        <f>IF($A8="","",D8+E8-F8)</f>
        <v/>
      </c>
      <c r="H8">
        <f>IF($A8="","",SUMIFS(Incentives!$H:$H,Incentives!$B:$B,$A8,Incentives!$N:$N,$B$2)+SUMIFS(Incentives!$H:$H,Incentives!$B:$B,$A8,Incentives!$N:$N,$C$2))</f>
        <v/>
      </c>
      <c r="I8">
        <f>IF($A8="","",COUNTIFS(Schedule!$G:$G,$A8,Schedule!$U:$U,$B$2,Schedule!$P:$P,"&gt;0")+COUNTIFS('TL Schedule'!$C:$C,$A8,'TL Schedule'!$K:$K,$B$2,'TL Schedule'!$J:$J,"&gt;0")+COUNTIFS(Schedule!$G:$G,$A8,Schedule!$U:$U,$C$2,Schedule!$P:$P,"&gt;0")+COUNTIFS('TL Schedule'!$C:$C,$A8,'TL Schedule'!$K:$K,$C$2,'TL Schedule'!$J:$J,"&gt;0"))</f>
        <v/>
      </c>
      <c r="J8">
        <f>IF($A8="","",IFERROR(TEXTJOIN(", ",TRUE,UNIQUE(FILTER(Schedule!$D$2:$D50000,Schedule!$G$2:$G50000=$A8,Schedule!$P$2:$P50000&gt;0,((Schedule!$U$2:$U50000=$B$2)+(Schedule!$U$2:$U50000=$C$2))))),""))</f>
        <v/>
      </c>
    </row>
    <row r="9">
      <c r="A9" t="inlineStr">
        <is>
          <t>Cejay</t>
        </is>
      </c>
      <c r="B9">
        <f>IF($A9="","",SUMIFS(Schedule!$P:$P,Schedule!$G:$G,$A9,Schedule!$U:$U,$B$2)+SUMIFS('TL Schedule'!$J:$J,'TL Schedule'!$C:$C,$A9,'TL Schedule'!$K:$K,$B$2))</f>
        <v/>
      </c>
      <c r="C9">
        <f>IF($A9="","",SUMIFS(Schedule!$P:$P,Schedule!$G:$G,$A9,Schedule!$U:$U,$C$2)+SUMIFS('TL Schedule'!$J:$J,'TL Schedule'!$C:$C,$A9,'TL Schedule'!$K:$K,$C$2))</f>
        <v/>
      </c>
      <c r="D9">
        <f>IF($A9="","",B9+C9)</f>
        <v/>
      </c>
      <c r="E9">
        <f>IF($A9="","",SUMIFS(Overtime!$H:$H,Overtime!$B:$B,$A9,Overtime!$N:$N,$B$2)+SUMIFS(Overtime!$H:$H,Overtime!$B:$B,$A9,Overtime!$N:$N,$C$2))</f>
        <v/>
      </c>
      <c r="F9">
        <f>IF($A9="","",SUMIFS('Death Penalty'!$E:$E,'Death Penalty'!$B:$B,$A9,'Death Penalty'!$L:$L,$B$2)+SUMIFS('Death Penalty'!$E:$E,'Death Penalty'!$B:$B,$A9,'Death Penalty'!$L:$L,$C$2))</f>
        <v/>
      </c>
      <c r="G9">
        <f>IF($A9="","",D9+E9-F9)</f>
        <v/>
      </c>
      <c r="H9">
        <f>IF($A9="","",SUMIFS(Incentives!$H:$H,Incentives!$B:$B,$A9,Incentives!$N:$N,$B$2)+SUMIFS(Incentives!$H:$H,Incentives!$B:$B,$A9,Incentives!$N:$N,$C$2))</f>
        <v/>
      </c>
      <c r="I9">
        <f>IF($A9="","",COUNTIFS(Schedule!$G:$G,$A9,Schedule!$U:$U,$B$2,Schedule!$P:$P,"&gt;0")+COUNTIFS('TL Schedule'!$C:$C,$A9,'TL Schedule'!$K:$K,$B$2,'TL Schedule'!$J:$J,"&gt;0")+COUNTIFS(Schedule!$G:$G,$A9,Schedule!$U:$U,$C$2,Schedule!$P:$P,"&gt;0")+COUNTIFS('TL Schedule'!$C:$C,$A9,'TL Schedule'!$K:$K,$C$2,'TL Schedule'!$J:$J,"&gt;0"))</f>
        <v/>
      </c>
      <c r="J9">
        <f>IF($A9="","",IFERROR(TEXTJOIN(", ",TRUE,UNIQUE(FILTER(Schedule!$D$2:$D50000,Schedule!$G$2:$G50000=$A9,Schedule!$P$2:$P50000&gt;0,((Schedule!$U$2:$U50000=$B$2)+(Schedule!$U$2:$U50000=$C$2))))),""))</f>
        <v/>
      </c>
    </row>
    <row r="10">
      <c r="A10" t="inlineStr">
        <is>
          <t>Charles Bernades</t>
        </is>
      </c>
      <c r="B10">
        <f>IF($A10="","",SUMIFS(Schedule!$P:$P,Schedule!$G:$G,$A10,Schedule!$U:$U,$B$2)+SUMIFS('TL Schedule'!$J:$J,'TL Schedule'!$C:$C,$A10,'TL Schedule'!$K:$K,$B$2))</f>
        <v/>
      </c>
      <c r="C10">
        <f>IF($A10="","",SUMIFS(Schedule!$P:$P,Schedule!$G:$G,$A10,Schedule!$U:$U,$C$2)+SUMIFS('TL Schedule'!$J:$J,'TL Schedule'!$C:$C,$A10,'TL Schedule'!$K:$K,$C$2))</f>
        <v/>
      </c>
      <c r="D10">
        <f>IF($A10="","",B10+C10)</f>
        <v/>
      </c>
      <c r="E10">
        <f>IF($A10="","",SUMIFS(Overtime!$H:$H,Overtime!$B:$B,$A10,Overtime!$N:$N,$B$2)+SUMIFS(Overtime!$H:$H,Overtime!$B:$B,$A10,Overtime!$N:$N,$C$2))</f>
        <v/>
      </c>
      <c r="F10">
        <f>IF($A10="","",SUMIFS('Death Penalty'!$E:$E,'Death Penalty'!$B:$B,$A10,'Death Penalty'!$L:$L,$B$2)+SUMIFS('Death Penalty'!$E:$E,'Death Penalty'!$B:$B,$A10,'Death Penalty'!$L:$L,$C$2))</f>
        <v/>
      </c>
      <c r="G10">
        <f>IF($A10="","",D10+E10-F10)</f>
        <v/>
      </c>
      <c r="H10">
        <f>IF($A10="","",SUMIFS(Incentives!$H:$H,Incentives!$B:$B,$A10,Incentives!$N:$N,$B$2)+SUMIFS(Incentives!$H:$H,Incentives!$B:$B,$A10,Incentives!$N:$N,$C$2))</f>
        <v/>
      </c>
      <c r="I10">
        <f>IF($A10="","",COUNTIFS(Schedule!$G:$G,$A10,Schedule!$U:$U,$B$2,Schedule!$P:$P,"&gt;0")+COUNTIFS('TL Schedule'!$C:$C,$A10,'TL Schedule'!$K:$K,$B$2,'TL Schedule'!$J:$J,"&gt;0")+COUNTIFS(Schedule!$G:$G,$A10,Schedule!$U:$U,$C$2,Schedule!$P:$P,"&gt;0")+COUNTIFS('TL Schedule'!$C:$C,$A10,'TL Schedule'!$K:$K,$C$2,'TL Schedule'!$J:$J,"&gt;0"))</f>
        <v/>
      </c>
      <c r="J10">
        <f>IF($A10="","",IFERROR(TEXTJOIN(", ",TRUE,UNIQUE(FILTER(Schedule!$D$2:$D50000,Schedule!$G$2:$G50000=$A10,Schedule!$P$2:$P50000&gt;0,((Schedule!$U$2:$U50000=$B$2)+(Schedule!$U$2:$U50000=$C$2))))),""))</f>
        <v/>
      </c>
    </row>
    <row r="11">
      <c r="A11" t="inlineStr">
        <is>
          <t>Chester</t>
        </is>
      </c>
      <c r="B11">
        <f>IF($A11="","",SUMIFS(Schedule!$P:$P,Schedule!$G:$G,$A11,Schedule!$U:$U,$B$2)+SUMIFS('TL Schedule'!$J:$J,'TL Schedule'!$C:$C,$A11,'TL Schedule'!$K:$K,$B$2))</f>
        <v/>
      </c>
      <c r="C11">
        <f>IF($A11="","",SUMIFS(Schedule!$P:$P,Schedule!$G:$G,$A11,Schedule!$U:$U,$C$2)+SUMIFS('TL Schedule'!$J:$J,'TL Schedule'!$C:$C,$A11,'TL Schedule'!$K:$K,$C$2))</f>
        <v/>
      </c>
      <c r="D11">
        <f>IF($A11="","",B11+C11)</f>
        <v/>
      </c>
      <c r="E11">
        <f>IF($A11="","",SUMIFS(Overtime!$H:$H,Overtime!$B:$B,$A11,Overtime!$N:$N,$B$2)+SUMIFS(Overtime!$H:$H,Overtime!$B:$B,$A11,Overtime!$N:$N,$C$2))</f>
        <v/>
      </c>
      <c r="F11">
        <f>IF($A11="","",SUMIFS('Death Penalty'!$E:$E,'Death Penalty'!$B:$B,$A11,'Death Penalty'!$L:$L,$B$2)+SUMIFS('Death Penalty'!$E:$E,'Death Penalty'!$B:$B,$A11,'Death Penalty'!$L:$L,$C$2))</f>
        <v/>
      </c>
      <c r="G11">
        <f>IF($A11="","",D11+E11-F11)</f>
        <v/>
      </c>
      <c r="H11">
        <f>IF($A11="","",SUMIFS(Incentives!$H:$H,Incentives!$B:$B,$A11,Incentives!$N:$N,$B$2)+SUMIFS(Incentives!$H:$H,Incentives!$B:$B,$A11,Incentives!$N:$N,$C$2))</f>
        <v/>
      </c>
      <c r="I11">
        <f>IF($A11="","",COUNTIFS(Schedule!$G:$G,$A11,Schedule!$U:$U,$B$2,Schedule!$P:$P,"&gt;0")+COUNTIFS('TL Schedule'!$C:$C,$A11,'TL Schedule'!$K:$K,$B$2,'TL Schedule'!$J:$J,"&gt;0")+COUNTIFS(Schedule!$G:$G,$A11,Schedule!$U:$U,$C$2,Schedule!$P:$P,"&gt;0")+COUNTIFS('TL Schedule'!$C:$C,$A11,'TL Schedule'!$K:$K,$C$2,'TL Schedule'!$J:$J,"&gt;0"))</f>
        <v/>
      </c>
      <c r="J11">
        <f>IF($A11="","",IFERROR(TEXTJOIN(", ",TRUE,UNIQUE(FILTER(Schedule!$D$2:$D50000,Schedule!$G$2:$G50000=$A11,Schedule!$P$2:$P50000&gt;0,((Schedule!$U$2:$U50000=$B$2)+(Schedule!$U$2:$U50000=$C$2))))),""))</f>
        <v/>
      </c>
    </row>
    <row r="12">
      <c r="A12" t="inlineStr">
        <is>
          <t>Christelle</t>
        </is>
      </c>
      <c r="B12">
        <f>IF($A12="","",SUMIFS(Schedule!$P:$P,Schedule!$G:$G,$A12,Schedule!$U:$U,$B$2)+SUMIFS('TL Schedule'!$J:$J,'TL Schedule'!$C:$C,$A12,'TL Schedule'!$K:$K,$B$2))</f>
        <v/>
      </c>
      <c r="C12">
        <f>IF($A12="","",SUMIFS(Schedule!$P:$P,Schedule!$G:$G,$A12,Schedule!$U:$U,$C$2)+SUMIFS('TL Schedule'!$J:$J,'TL Schedule'!$C:$C,$A12,'TL Schedule'!$K:$K,$C$2))</f>
        <v/>
      </c>
      <c r="D12">
        <f>IF($A12="","",B12+C12)</f>
        <v/>
      </c>
      <c r="E12">
        <f>IF($A12="","",SUMIFS(Overtime!$H:$H,Overtime!$B:$B,$A12,Overtime!$N:$N,$B$2)+SUMIFS(Overtime!$H:$H,Overtime!$B:$B,$A12,Overtime!$N:$N,$C$2))</f>
        <v/>
      </c>
      <c r="F12">
        <f>IF($A12="","",SUMIFS('Death Penalty'!$E:$E,'Death Penalty'!$B:$B,$A12,'Death Penalty'!$L:$L,$B$2)+SUMIFS('Death Penalty'!$E:$E,'Death Penalty'!$B:$B,$A12,'Death Penalty'!$L:$L,$C$2))</f>
        <v/>
      </c>
      <c r="G12">
        <f>IF($A12="","",D12+E12-F12)</f>
        <v/>
      </c>
      <c r="H12">
        <f>IF($A12="","",SUMIFS(Incentives!$H:$H,Incentives!$B:$B,$A12,Incentives!$N:$N,$B$2)+SUMIFS(Incentives!$H:$H,Incentives!$B:$B,$A12,Incentives!$N:$N,$C$2))</f>
        <v/>
      </c>
      <c r="I12">
        <f>IF($A12="","",COUNTIFS(Schedule!$G:$G,$A12,Schedule!$U:$U,$B$2,Schedule!$P:$P,"&gt;0")+COUNTIFS('TL Schedule'!$C:$C,$A12,'TL Schedule'!$K:$K,$B$2,'TL Schedule'!$J:$J,"&gt;0")+COUNTIFS(Schedule!$G:$G,$A12,Schedule!$U:$U,$C$2,Schedule!$P:$P,"&gt;0")+COUNTIFS('TL Schedule'!$C:$C,$A12,'TL Schedule'!$K:$K,$C$2,'TL Schedule'!$J:$J,"&gt;0"))</f>
        <v/>
      </c>
      <c r="J12">
        <f>IF($A12="","",IFERROR(TEXTJOIN(", ",TRUE,UNIQUE(FILTER(Schedule!$D$2:$D50000,Schedule!$G$2:$G50000=$A12,Schedule!$P$2:$P50000&gt;0,((Schedule!$U$2:$U50000=$B$2)+(Schedule!$U$2:$U50000=$C$2))))),""))</f>
        <v/>
      </c>
    </row>
    <row r="13">
      <c r="A13" t="inlineStr">
        <is>
          <t>David Ayag</t>
        </is>
      </c>
      <c r="B13">
        <f>IF($A13="","",SUMIFS(Schedule!$P:$P,Schedule!$G:$G,$A13,Schedule!$U:$U,$B$2)+SUMIFS('TL Schedule'!$J:$J,'TL Schedule'!$C:$C,$A13,'TL Schedule'!$K:$K,$B$2))</f>
        <v/>
      </c>
      <c r="C13">
        <f>IF($A13="","",SUMIFS(Schedule!$P:$P,Schedule!$G:$G,$A13,Schedule!$U:$U,$C$2)+SUMIFS('TL Schedule'!$J:$J,'TL Schedule'!$C:$C,$A13,'TL Schedule'!$K:$K,$C$2))</f>
        <v/>
      </c>
      <c r="D13">
        <f>IF($A13="","",B13+C13)</f>
        <v/>
      </c>
      <c r="E13">
        <f>IF($A13="","",SUMIFS(Overtime!$H:$H,Overtime!$B:$B,$A13,Overtime!$N:$N,$B$2)+SUMIFS(Overtime!$H:$H,Overtime!$B:$B,$A13,Overtime!$N:$N,$C$2))</f>
        <v/>
      </c>
      <c r="F13">
        <f>IF($A13="","",SUMIFS('Death Penalty'!$E:$E,'Death Penalty'!$B:$B,$A13,'Death Penalty'!$L:$L,$B$2)+SUMIFS('Death Penalty'!$E:$E,'Death Penalty'!$B:$B,$A13,'Death Penalty'!$L:$L,$C$2))</f>
        <v/>
      </c>
      <c r="G13">
        <f>IF($A13="","",D13+E13-F13)</f>
        <v/>
      </c>
      <c r="H13">
        <f>IF($A13="","",SUMIFS(Incentives!$H:$H,Incentives!$B:$B,$A13,Incentives!$N:$N,$B$2)+SUMIFS(Incentives!$H:$H,Incentives!$B:$B,$A13,Incentives!$N:$N,$C$2))</f>
        <v/>
      </c>
      <c r="I13">
        <f>IF($A13="","",COUNTIFS(Schedule!$G:$G,$A13,Schedule!$U:$U,$B$2,Schedule!$P:$P,"&gt;0")+COUNTIFS('TL Schedule'!$C:$C,$A13,'TL Schedule'!$K:$K,$B$2,'TL Schedule'!$J:$J,"&gt;0")+COUNTIFS(Schedule!$G:$G,$A13,Schedule!$U:$U,$C$2,Schedule!$P:$P,"&gt;0")+COUNTIFS('TL Schedule'!$C:$C,$A13,'TL Schedule'!$K:$K,$C$2,'TL Schedule'!$J:$J,"&gt;0"))</f>
        <v/>
      </c>
      <c r="J13">
        <f>IF($A13="","",IFERROR(TEXTJOIN(", ",TRUE,UNIQUE(FILTER(Schedule!$D$2:$D50000,Schedule!$G$2:$G50000=$A13,Schedule!$P$2:$P50000&gt;0,((Schedule!$U$2:$U50000=$B$2)+(Schedule!$U$2:$U50000=$C$2))))),""))</f>
        <v/>
      </c>
    </row>
    <row r="14">
      <c r="A14" t="inlineStr">
        <is>
          <t>Ehder Lhen</t>
        </is>
      </c>
      <c r="B14">
        <f>IF($A14="","",SUMIFS(Schedule!$P:$P,Schedule!$G:$G,$A14,Schedule!$U:$U,$B$2)+SUMIFS('TL Schedule'!$J:$J,'TL Schedule'!$C:$C,$A14,'TL Schedule'!$K:$K,$B$2))</f>
        <v/>
      </c>
      <c r="C14">
        <f>IF($A14="","",SUMIFS(Schedule!$P:$P,Schedule!$G:$G,$A14,Schedule!$U:$U,$C$2)+SUMIFS('TL Schedule'!$J:$J,'TL Schedule'!$C:$C,$A14,'TL Schedule'!$K:$K,$C$2))</f>
        <v/>
      </c>
      <c r="D14">
        <f>IF($A14="","",B14+C14)</f>
        <v/>
      </c>
      <c r="E14">
        <f>IF($A14="","",SUMIFS(Overtime!$H:$H,Overtime!$B:$B,$A14,Overtime!$N:$N,$B$2)+SUMIFS(Overtime!$H:$H,Overtime!$B:$B,$A14,Overtime!$N:$N,$C$2))</f>
        <v/>
      </c>
      <c r="F14">
        <f>IF($A14="","",SUMIFS('Death Penalty'!$E:$E,'Death Penalty'!$B:$B,$A14,'Death Penalty'!$L:$L,$B$2)+SUMIFS('Death Penalty'!$E:$E,'Death Penalty'!$B:$B,$A14,'Death Penalty'!$L:$L,$C$2))</f>
        <v/>
      </c>
      <c r="G14">
        <f>IF($A14="","",D14+E14-F14)</f>
        <v/>
      </c>
      <c r="H14">
        <f>IF($A14="","",SUMIFS(Incentives!$H:$H,Incentives!$B:$B,$A14,Incentives!$N:$N,$B$2)+SUMIFS(Incentives!$H:$H,Incentives!$B:$B,$A14,Incentives!$N:$N,$C$2))</f>
        <v/>
      </c>
      <c r="I14">
        <f>IF($A14="","",COUNTIFS(Schedule!$G:$G,$A14,Schedule!$U:$U,$B$2,Schedule!$P:$P,"&gt;0")+COUNTIFS('TL Schedule'!$C:$C,$A14,'TL Schedule'!$K:$K,$B$2,'TL Schedule'!$J:$J,"&gt;0")+COUNTIFS(Schedule!$G:$G,$A14,Schedule!$U:$U,$C$2,Schedule!$P:$P,"&gt;0")+COUNTIFS('TL Schedule'!$C:$C,$A14,'TL Schedule'!$K:$K,$C$2,'TL Schedule'!$J:$J,"&gt;0"))</f>
        <v/>
      </c>
      <c r="J14">
        <f>IF($A14="","",IFERROR(TEXTJOIN(", ",TRUE,UNIQUE(FILTER(Schedule!$D$2:$D50000,Schedule!$G$2:$G50000=$A14,Schedule!$P$2:$P50000&gt;0,((Schedule!$U$2:$U50000=$B$2)+(Schedule!$U$2:$U50000=$C$2))))),""))</f>
        <v/>
      </c>
    </row>
    <row r="15">
      <c r="A15" t="inlineStr">
        <is>
          <t>Isiah</t>
        </is>
      </c>
      <c r="B15">
        <f>IF($A15="","",SUMIFS(Schedule!$P:$P,Schedule!$G:$G,$A15,Schedule!$U:$U,$B$2)+SUMIFS('TL Schedule'!$J:$J,'TL Schedule'!$C:$C,$A15,'TL Schedule'!$K:$K,$B$2))</f>
        <v/>
      </c>
      <c r="C15">
        <f>IF($A15="","",SUMIFS(Schedule!$P:$P,Schedule!$G:$G,$A15,Schedule!$U:$U,$C$2)+SUMIFS('TL Schedule'!$J:$J,'TL Schedule'!$C:$C,$A15,'TL Schedule'!$K:$K,$C$2))</f>
        <v/>
      </c>
      <c r="D15">
        <f>IF($A15="","",B15+C15)</f>
        <v/>
      </c>
      <c r="E15">
        <f>IF($A15="","",SUMIFS(Overtime!$H:$H,Overtime!$B:$B,$A15,Overtime!$N:$N,$B$2)+SUMIFS(Overtime!$H:$H,Overtime!$B:$B,$A15,Overtime!$N:$N,$C$2))</f>
        <v/>
      </c>
      <c r="F15">
        <f>IF($A15="","",SUMIFS('Death Penalty'!$E:$E,'Death Penalty'!$B:$B,$A15,'Death Penalty'!$L:$L,$B$2)+SUMIFS('Death Penalty'!$E:$E,'Death Penalty'!$B:$B,$A15,'Death Penalty'!$L:$L,$C$2))</f>
        <v/>
      </c>
      <c r="G15">
        <f>IF($A15="","",D15+E15-F15)</f>
        <v/>
      </c>
      <c r="H15">
        <f>IF($A15="","",SUMIFS(Incentives!$H:$H,Incentives!$B:$B,$A15,Incentives!$N:$N,$B$2)+SUMIFS(Incentives!$H:$H,Incentives!$B:$B,$A15,Incentives!$N:$N,$C$2))</f>
        <v/>
      </c>
      <c r="I15">
        <f>IF($A15="","",COUNTIFS(Schedule!$G:$G,$A15,Schedule!$U:$U,$B$2,Schedule!$P:$P,"&gt;0")+COUNTIFS('TL Schedule'!$C:$C,$A15,'TL Schedule'!$K:$K,$B$2,'TL Schedule'!$J:$J,"&gt;0")+COUNTIFS(Schedule!$G:$G,$A15,Schedule!$U:$U,$C$2,Schedule!$P:$P,"&gt;0")+COUNTIFS('TL Schedule'!$C:$C,$A15,'TL Schedule'!$K:$K,$C$2,'TL Schedule'!$J:$J,"&gt;0"))</f>
        <v/>
      </c>
      <c r="J15">
        <f>IF($A15="","",IFERROR(TEXTJOIN(", ",TRUE,UNIQUE(FILTER(Schedule!$D$2:$D50000,Schedule!$G$2:$G50000=$A15,Schedule!$P$2:$P50000&gt;0,((Schedule!$U$2:$U50000=$B$2)+(Schedule!$U$2:$U50000=$C$2))))),""))</f>
        <v/>
      </c>
    </row>
    <row r="16">
      <c r="A16" t="inlineStr">
        <is>
          <t>JM Racca</t>
        </is>
      </c>
      <c r="B16">
        <f>IF($A16="","",SUMIFS(Schedule!$P:$P,Schedule!$G:$G,$A16,Schedule!$U:$U,$B$2)+SUMIFS('TL Schedule'!$J:$J,'TL Schedule'!$C:$C,$A16,'TL Schedule'!$K:$K,$B$2))</f>
        <v/>
      </c>
      <c r="C16">
        <f>IF($A16="","",SUMIFS(Schedule!$P:$P,Schedule!$G:$G,$A16,Schedule!$U:$U,$C$2)+SUMIFS('TL Schedule'!$J:$J,'TL Schedule'!$C:$C,$A16,'TL Schedule'!$K:$K,$C$2))</f>
        <v/>
      </c>
      <c r="D16">
        <f>IF($A16="","",B16+C16)</f>
        <v/>
      </c>
      <c r="E16">
        <f>IF($A16="","",SUMIFS(Overtime!$H:$H,Overtime!$B:$B,$A16,Overtime!$N:$N,$B$2)+SUMIFS(Overtime!$H:$H,Overtime!$B:$B,$A16,Overtime!$N:$N,$C$2))</f>
        <v/>
      </c>
      <c r="F16">
        <f>IF($A16="","",SUMIFS('Death Penalty'!$E:$E,'Death Penalty'!$B:$B,$A16,'Death Penalty'!$L:$L,$B$2)+SUMIFS('Death Penalty'!$E:$E,'Death Penalty'!$B:$B,$A16,'Death Penalty'!$L:$L,$C$2))</f>
        <v/>
      </c>
      <c r="G16">
        <f>IF($A16="","",D16+E16-F16)</f>
        <v/>
      </c>
      <c r="H16">
        <f>IF($A16="","",SUMIFS(Incentives!$H:$H,Incentives!$B:$B,$A16,Incentives!$N:$N,$B$2)+SUMIFS(Incentives!$H:$H,Incentives!$B:$B,$A16,Incentives!$N:$N,$C$2))</f>
        <v/>
      </c>
      <c r="I16">
        <f>IF($A16="","",COUNTIFS(Schedule!$G:$G,$A16,Schedule!$U:$U,$B$2,Schedule!$P:$P,"&gt;0")+COUNTIFS('TL Schedule'!$C:$C,$A16,'TL Schedule'!$K:$K,$B$2,'TL Schedule'!$J:$J,"&gt;0")+COUNTIFS(Schedule!$G:$G,$A16,Schedule!$U:$U,$C$2,Schedule!$P:$P,"&gt;0")+COUNTIFS('TL Schedule'!$C:$C,$A16,'TL Schedule'!$K:$K,$C$2,'TL Schedule'!$J:$J,"&gt;0"))</f>
        <v/>
      </c>
      <c r="J16">
        <f>IF($A16="","",IFERROR(TEXTJOIN(", ",TRUE,UNIQUE(FILTER(Schedule!$D$2:$D50000,Schedule!$G$2:$G50000=$A16,Schedule!$P$2:$P50000&gt;0,((Schedule!$U$2:$U50000=$B$2)+(Schedule!$U$2:$U50000=$C$2))))),""))</f>
        <v/>
      </c>
    </row>
    <row r="17">
      <c r="A17" t="inlineStr">
        <is>
          <t>Jan Nino</t>
        </is>
      </c>
      <c r="B17">
        <f>IF($A17="","",SUMIFS(Schedule!$P:$P,Schedule!$G:$G,$A17,Schedule!$U:$U,$B$2)+SUMIFS('TL Schedule'!$J:$J,'TL Schedule'!$C:$C,$A17,'TL Schedule'!$K:$K,$B$2))</f>
        <v/>
      </c>
      <c r="C17">
        <f>IF($A17="","",SUMIFS(Schedule!$P:$P,Schedule!$G:$G,$A17,Schedule!$U:$U,$C$2)+SUMIFS('TL Schedule'!$J:$J,'TL Schedule'!$C:$C,$A17,'TL Schedule'!$K:$K,$C$2))</f>
        <v/>
      </c>
      <c r="D17">
        <f>IF($A17="","",B17+C17)</f>
        <v/>
      </c>
      <c r="E17">
        <f>IF($A17="","",SUMIFS(Overtime!$H:$H,Overtime!$B:$B,$A17,Overtime!$N:$N,$B$2)+SUMIFS(Overtime!$H:$H,Overtime!$B:$B,$A17,Overtime!$N:$N,$C$2))</f>
        <v/>
      </c>
      <c r="F17">
        <f>IF($A17="","",SUMIFS('Death Penalty'!$E:$E,'Death Penalty'!$B:$B,$A17,'Death Penalty'!$L:$L,$B$2)+SUMIFS('Death Penalty'!$E:$E,'Death Penalty'!$B:$B,$A17,'Death Penalty'!$L:$L,$C$2))</f>
        <v/>
      </c>
      <c r="G17">
        <f>IF($A17="","",D17+E17-F17)</f>
        <v/>
      </c>
      <c r="H17">
        <f>IF($A17="","",SUMIFS(Incentives!$H:$H,Incentives!$B:$B,$A17,Incentives!$N:$N,$B$2)+SUMIFS(Incentives!$H:$H,Incentives!$B:$B,$A17,Incentives!$N:$N,$C$2))</f>
        <v/>
      </c>
      <c r="I17">
        <f>IF($A17="","",COUNTIFS(Schedule!$G:$G,$A17,Schedule!$U:$U,$B$2,Schedule!$P:$P,"&gt;0")+COUNTIFS('TL Schedule'!$C:$C,$A17,'TL Schedule'!$K:$K,$B$2,'TL Schedule'!$J:$J,"&gt;0")+COUNTIFS(Schedule!$G:$G,$A17,Schedule!$U:$U,$C$2,Schedule!$P:$P,"&gt;0")+COUNTIFS('TL Schedule'!$C:$C,$A17,'TL Schedule'!$K:$K,$C$2,'TL Schedule'!$J:$J,"&gt;0"))</f>
        <v/>
      </c>
      <c r="J17">
        <f>IF($A17="","",IFERROR(TEXTJOIN(", ",TRUE,UNIQUE(FILTER(Schedule!$D$2:$D50000,Schedule!$G$2:$G50000=$A17,Schedule!$P$2:$P50000&gt;0,((Schedule!$U$2:$U50000=$B$2)+(Schedule!$U$2:$U50000=$C$2))))),""))</f>
        <v/>
      </c>
    </row>
    <row r="18">
      <c r="A18" t="inlineStr">
        <is>
          <t>Jay Penilla</t>
        </is>
      </c>
      <c r="B18">
        <f>IF($A18="","",SUMIFS(Schedule!$P:$P,Schedule!$G:$G,$A18,Schedule!$U:$U,$B$2)+SUMIFS('TL Schedule'!$J:$J,'TL Schedule'!$C:$C,$A18,'TL Schedule'!$K:$K,$B$2))</f>
        <v/>
      </c>
      <c r="C18">
        <f>IF($A18="","",SUMIFS(Schedule!$P:$P,Schedule!$G:$G,$A18,Schedule!$U:$U,$C$2)+SUMIFS('TL Schedule'!$J:$J,'TL Schedule'!$C:$C,$A18,'TL Schedule'!$K:$K,$C$2))</f>
        <v/>
      </c>
      <c r="D18">
        <f>IF($A18="","",B18+C18)</f>
        <v/>
      </c>
      <c r="E18">
        <f>IF($A18="","",SUMIFS(Overtime!$H:$H,Overtime!$B:$B,$A18,Overtime!$N:$N,$B$2)+SUMIFS(Overtime!$H:$H,Overtime!$B:$B,$A18,Overtime!$N:$N,$C$2))</f>
        <v/>
      </c>
      <c r="F18">
        <f>IF($A18="","",SUMIFS('Death Penalty'!$E:$E,'Death Penalty'!$B:$B,$A18,'Death Penalty'!$L:$L,$B$2)+SUMIFS('Death Penalty'!$E:$E,'Death Penalty'!$B:$B,$A18,'Death Penalty'!$L:$L,$C$2))</f>
        <v/>
      </c>
      <c r="G18">
        <f>IF($A18="","",D18+E18-F18)</f>
        <v/>
      </c>
      <c r="H18">
        <f>IF($A18="","",SUMIFS(Incentives!$H:$H,Incentives!$B:$B,$A18,Incentives!$N:$N,$B$2)+SUMIFS(Incentives!$H:$H,Incentives!$B:$B,$A18,Incentives!$N:$N,$C$2))</f>
        <v/>
      </c>
      <c r="I18">
        <f>IF($A18="","",COUNTIFS(Schedule!$G:$G,$A18,Schedule!$U:$U,$B$2,Schedule!$P:$P,"&gt;0")+COUNTIFS('TL Schedule'!$C:$C,$A18,'TL Schedule'!$K:$K,$B$2,'TL Schedule'!$J:$J,"&gt;0")+COUNTIFS(Schedule!$G:$G,$A18,Schedule!$U:$U,$C$2,Schedule!$P:$P,"&gt;0")+COUNTIFS('TL Schedule'!$C:$C,$A18,'TL Schedule'!$K:$K,$C$2,'TL Schedule'!$J:$J,"&gt;0"))</f>
        <v/>
      </c>
      <c r="J18">
        <f>IF($A18="","",IFERROR(TEXTJOIN(", ",TRUE,UNIQUE(FILTER(Schedule!$D$2:$D50000,Schedule!$G$2:$G50000=$A18,Schedule!$P$2:$P50000&gt;0,((Schedule!$U$2:$U50000=$B$2)+(Schedule!$U$2:$U50000=$C$2))))),""))</f>
        <v/>
      </c>
    </row>
    <row r="19">
      <c r="A19" t="inlineStr">
        <is>
          <t>Jefferson</t>
        </is>
      </c>
      <c r="B19">
        <f>IF($A19="","",SUMIFS(Schedule!$P:$P,Schedule!$G:$G,$A19,Schedule!$U:$U,$B$2)+SUMIFS('TL Schedule'!$J:$J,'TL Schedule'!$C:$C,$A19,'TL Schedule'!$K:$K,$B$2))</f>
        <v/>
      </c>
      <c r="C19">
        <f>IF($A19="","",SUMIFS(Schedule!$P:$P,Schedule!$G:$G,$A19,Schedule!$U:$U,$C$2)+SUMIFS('TL Schedule'!$J:$J,'TL Schedule'!$C:$C,$A19,'TL Schedule'!$K:$K,$C$2))</f>
        <v/>
      </c>
      <c r="D19">
        <f>IF($A19="","",B19+C19)</f>
        <v/>
      </c>
      <c r="E19">
        <f>IF($A19="","",SUMIFS(Overtime!$H:$H,Overtime!$B:$B,$A19,Overtime!$N:$N,$B$2)+SUMIFS(Overtime!$H:$H,Overtime!$B:$B,$A19,Overtime!$N:$N,$C$2))</f>
        <v/>
      </c>
      <c r="F19">
        <f>IF($A19="","",SUMIFS('Death Penalty'!$E:$E,'Death Penalty'!$B:$B,$A19,'Death Penalty'!$L:$L,$B$2)+SUMIFS('Death Penalty'!$E:$E,'Death Penalty'!$B:$B,$A19,'Death Penalty'!$L:$L,$C$2))</f>
        <v/>
      </c>
      <c r="G19">
        <f>IF($A19="","",D19+E19-F19)</f>
        <v/>
      </c>
      <c r="H19">
        <f>IF($A19="","",SUMIFS(Incentives!$H:$H,Incentives!$B:$B,$A19,Incentives!$N:$N,$B$2)+SUMIFS(Incentives!$H:$H,Incentives!$B:$B,$A19,Incentives!$N:$N,$C$2))</f>
        <v/>
      </c>
      <c r="I19">
        <f>IF($A19="","",COUNTIFS(Schedule!$G:$G,$A19,Schedule!$U:$U,$B$2,Schedule!$P:$P,"&gt;0")+COUNTIFS('TL Schedule'!$C:$C,$A19,'TL Schedule'!$K:$K,$B$2,'TL Schedule'!$J:$J,"&gt;0")+COUNTIFS(Schedule!$G:$G,$A19,Schedule!$U:$U,$C$2,Schedule!$P:$P,"&gt;0")+COUNTIFS('TL Schedule'!$C:$C,$A19,'TL Schedule'!$K:$K,$C$2,'TL Schedule'!$J:$J,"&gt;0"))</f>
        <v/>
      </c>
      <c r="J19">
        <f>IF($A19="","",IFERROR(TEXTJOIN(", ",TRUE,UNIQUE(FILTER(Schedule!$D$2:$D50000,Schedule!$G$2:$G50000=$A19,Schedule!$P$2:$P50000&gt;0,((Schedule!$U$2:$U50000=$B$2)+(Schedule!$U$2:$U50000=$C$2))))),""))</f>
        <v/>
      </c>
    </row>
    <row r="20">
      <c r="A20" t="inlineStr">
        <is>
          <t>Jel Rick</t>
        </is>
      </c>
      <c r="B20">
        <f>IF($A20="","",SUMIFS(Schedule!$P:$P,Schedule!$G:$G,$A20,Schedule!$U:$U,$B$2)+SUMIFS('TL Schedule'!$J:$J,'TL Schedule'!$C:$C,$A20,'TL Schedule'!$K:$K,$B$2))</f>
        <v/>
      </c>
      <c r="C20">
        <f>IF($A20="","",SUMIFS(Schedule!$P:$P,Schedule!$G:$G,$A20,Schedule!$U:$U,$C$2)+SUMIFS('TL Schedule'!$J:$J,'TL Schedule'!$C:$C,$A20,'TL Schedule'!$K:$K,$C$2))</f>
        <v/>
      </c>
      <c r="D20">
        <f>IF($A20="","",B20+C20)</f>
        <v/>
      </c>
      <c r="E20">
        <f>IF($A20="","",SUMIFS(Overtime!$H:$H,Overtime!$B:$B,$A20,Overtime!$N:$N,$B$2)+SUMIFS(Overtime!$H:$H,Overtime!$B:$B,$A20,Overtime!$N:$N,$C$2))</f>
        <v/>
      </c>
      <c r="F20">
        <f>IF($A20="","",SUMIFS('Death Penalty'!$E:$E,'Death Penalty'!$B:$B,$A20,'Death Penalty'!$L:$L,$B$2)+SUMIFS('Death Penalty'!$E:$E,'Death Penalty'!$B:$B,$A20,'Death Penalty'!$L:$L,$C$2))</f>
        <v/>
      </c>
      <c r="G20">
        <f>IF($A20="","",D20+E20-F20)</f>
        <v/>
      </c>
      <c r="H20">
        <f>IF($A20="","",SUMIFS(Incentives!$H:$H,Incentives!$B:$B,$A20,Incentives!$N:$N,$B$2)+SUMIFS(Incentives!$H:$H,Incentives!$B:$B,$A20,Incentives!$N:$N,$C$2))</f>
        <v/>
      </c>
      <c r="I20">
        <f>IF($A20="","",COUNTIFS(Schedule!$G:$G,$A20,Schedule!$U:$U,$B$2,Schedule!$P:$P,"&gt;0")+COUNTIFS('TL Schedule'!$C:$C,$A20,'TL Schedule'!$K:$K,$B$2,'TL Schedule'!$J:$J,"&gt;0")+COUNTIFS(Schedule!$G:$G,$A20,Schedule!$U:$U,$C$2,Schedule!$P:$P,"&gt;0")+COUNTIFS('TL Schedule'!$C:$C,$A20,'TL Schedule'!$K:$K,$C$2,'TL Schedule'!$J:$J,"&gt;0"))</f>
        <v/>
      </c>
      <c r="J20">
        <f>IF($A20="","",IFERROR(TEXTJOIN(", ",TRUE,UNIQUE(FILTER(Schedule!$D$2:$D50000,Schedule!$G$2:$G50000=$A20,Schedule!$P$2:$P50000&gt;0,((Schedule!$U$2:$U50000=$B$2)+(Schedule!$U$2:$U50000=$C$2))))),""))</f>
        <v/>
      </c>
    </row>
    <row r="21">
      <c r="A21" t="inlineStr">
        <is>
          <t>Jheco</t>
        </is>
      </c>
      <c r="B21">
        <f>IF($A21="","",SUMIFS(Schedule!$P:$P,Schedule!$G:$G,$A21,Schedule!$U:$U,$B$2)+SUMIFS('TL Schedule'!$J:$J,'TL Schedule'!$C:$C,$A21,'TL Schedule'!$K:$K,$B$2))</f>
        <v/>
      </c>
      <c r="C21">
        <f>IF($A21="","",SUMIFS(Schedule!$P:$P,Schedule!$G:$G,$A21,Schedule!$U:$U,$C$2)+SUMIFS('TL Schedule'!$J:$J,'TL Schedule'!$C:$C,$A21,'TL Schedule'!$K:$K,$C$2))</f>
        <v/>
      </c>
      <c r="D21">
        <f>IF($A21="","",B21+C21)</f>
        <v/>
      </c>
      <c r="E21">
        <f>IF($A21="","",SUMIFS(Overtime!$H:$H,Overtime!$B:$B,$A21,Overtime!$N:$N,$B$2)+SUMIFS(Overtime!$H:$H,Overtime!$B:$B,$A21,Overtime!$N:$N,$C$2))</f>
        <v/>
      </c>
      <c r="F21">
        <f>IF($A21="","",SUMIFS('Death Penalty'!$E:$E,'Death Penalty'!$B:$B,$A21,'Death Penalty'!$L:$L,$B$2)+SUMIFS('Death Penalty'!$E:$E,'Death Penalty'!$B:$B,$A21,'Death Penalty'!$L:$L,$C$2))</f>
        <v/>
      </c>
      <c r="G21">
        <f>IF($A21="","",D21+E21-F21)</f>
        <v/>
      </c>
      <c r="H21">
        <f>IF($A21="","",SUMIFS(Incentives!$H:$H,Incentives!$B:$B,$A21,Incentives!$N:$N,$B$2)+SUMIFS(Incentives!$H:$H,Incentives!$B:$B,$A21,Incentives!$N:$N,$C$2))</f>
        <v/>
      </c>
      <c r="I21">
        <f>IF($A21="","",COUNTIFS(Schedule!$G:$G,$A21,Schedule!$U:$U,$B$2,Schedule!$P:$P,"&gt;0")+COUNTIFS('TL Schedule'!$C:$C,$A21,'TL Schedule'!$K:$K,$B$2,'TL Schedule'!$J:$J,"&gt;0")+COUNTIFS(Schedule!$G:$G,$A21,Schedule!$U:$U,$C$2,Schedule!$P:$P,"&gt;0")+COUNTIFS('TL Schedule'!$C:$C,$A21,'TL Schedule'!$K:$K,$C$2,'TL Schedule'!$J:$J,"&gt;0"))</f>
        <v/>
      </c>
      <c r="J21">
        <f>IF($A21="","",IFERROR(TEXTJOIN(", ",TRUE,UNIQUE(FILTER(Schedule!$D$2:$D50000,Schedule!$G$2:$G50000=$A21,Schedule!$P$2:$P50000&gt;0,((Schedule!$U$2:$U50000=$B$2)+(Schedule!$U$2:$U50000=$C$2))))),""))</f>
        <v/>
      </c>
    </row>
    <row r="22">
      <c r="A22" t="inlineStr">
        <is>
          <t>John Carlo</t>
        </is>
      </c>
      <c r="B22">
        <f>IF($A22="","",SUMIFS(Schedule!$P:$P,Schedule!$G:$G,$A22,Schedule!$U:$U,$B$2)+SUMIFS('TL Schedule'!$J:$J,'TL Schedule'!$C:$C,$A22,'TL Schedule'!$K:$K,$B$2))</f>
        <v/>
      </c>
      <c r="C22">
        <f>IF($A22="","",SUMIFS(Schedule!$P:$P,Schedule!$G:$G,$A22,Schedule!$U:$U,$C$2)+SUMIFS('TL Schedule'!$J:$J,'TL Schedule'!$C:$C,$A22,'TL Schedule'!$K:$K,$C$2))</f>
        <v/>
      </c>
      <c r="D22">
        <f>IF($A22="","",B22+C22)</f>
        <v/>
      </c>
      <c r="E22">
        <f>IF($A22="","",SUMIFS(Overtime!$H:$H,Overtime!$B:$B,$A22,Overtime!$N:$N,$B$2)+SUMIFS(Overtime!$H:$H,Overtime!$B:$B,$A22,Overtime!$N:$N,$C$2))</f>
        <v/>
      </c>
      <c r="F22">
        <f>IF($A22="","",SUMIFS('Death Penalty'!$E:$E,'Death Penalty'!$B:$B,$A22,'Death Penalty'!$L:$L,$B$2)+SUMIFS('Death Penalty'!$E:$E,'Death Penalty'!$B:$B,$A22,'Death Penalty'!$L:$L,$C$2))</f>
        <v/>
      </c>
      <c r="G22">
        <f>IF($A22="","",D22+E22-F22)</f>
        <v/>
      </c>
      <c r="H22">
        <f>IF($A22="","",SUMIFS(Incentives!$H:$H,Incentives!$B:$B,$A22,Incentives!$N:$N,$B$2)+SUMIFS(Incentives!$H:$H,Incentives!$B:$B,$A22,Incentives!$N:$N,$C$2))</f>
        <v/>
      </c>
      <c r="I22">
        <f>IF($A22="","",COUNTIFS(Schedule!$G:$G,$A22,Schedule!$U:$U,$B$2,Schedule!$P:$P,"&gt;0")+COUNTIFS('TL Schedule'!$C:$C,$A22,'TL Schedule'!$K:$K,$B$2,'TL Schedule'!$J:$J,"&gt;0")+COUNTIFS(Schedule!$G:$G,$A22,Schedule!$U:$U,$C$2,Schedule!$P:$P,"&gt;0")+COUNTIFS('TL Schedule'!$C:$C,$A22,'TL Schedule'!$K:$K,$C$2,'TL Schedule'!$J:$J,"&gt;0"))</f>
        <v/>
      </c>
      <c r="J22">
        <f>IF($A22="","",IFERROR(TEXTJOIN(", ",TRUE,UNIQUE(FILTER(Schedule!$D$2:$D50000,Schedule!$G$2:$G50000=$A22,Schedule!$P$2:$P50000&gt;0,((Schedule!$U$2:$U50000=$B$2)+(Schedule!$U$2:$U50000=$C$2))))),""))</f>
        <v/>
      </c>
    </row>
    <row r="23">
      <c r="A23" t="inlineStr">
        <is>
          <t>John Manuel</t>
        </is>
      </c>
      <c r="B23">
        <f>IF($A23="","",SUMIFS(Schedule!$P:$P,Schedule!$G:$G,$A23,Schedule!$U:$U,$B$2)+SUMIFS('TL Schedule'!$J:$J,'TL Schedule'!$C:$C,$A23,'TL Schedule'!$K:$K,$B$2))</f>
        <v/>
      </c>
      <c r="C23">
        <f>IF($A23="","",SUMIFS(Schedule!$P:$P,Schedule!$G:$G,$A23,Schedule!$U:$U,$C$2)+SUMIFS('TL Schedule'!$J:$J,'TL Schedule'!$C:$C,$A23,'TL Schedule'!$K:$K,$C$2))</f>
        <v/>
      </c>
      <c r="D23">
        <f>IF($A23="","",B23+C23)</f>
        <v/>
      </c>
      <c r="E23">
        <f>IF($A23="","",SUMIFS(Overtime!$H:$H,Overtime!$B:$B,$A23,Overtime!$N:$N,$B$2)+SUMIFS(Overtime!$H:$H,Overtime!$B:$B,$A23,Overtime!$N:$N,$C$2))</f>
        <v/>
      </c>
      <c r="F23">
        <f>IF($A23="","",SUMIFS('Death Penalty'!$E:$E,'Death Penalty'!$B:$B,$A23,'Death Penalty'!$L:$L,$B$2)+SUMIFS('Death Penalty'!$E:$E,'Death Penalty'!$B:$B,$A23,'Death Penalty'!$L:$L,$C$2))</f>
        <v/>
      </c>
      <c r="G23">
        <f>IF($A23="","",D23+E23-F23)</f>
        <v/>
      </c>
      <c r="H23">
        <f>IF($A23="","",SUMIFS(Incentives!$H:$H,Incentives!$B:$B,$A23,Incentives!$N:$N,$B$2)+SUMIFS(Incentives!$H:$H,Incentives!$B:$B,$A23,Incentives!$N:$N,$C$2))</f>
        <v/>
      </c>
      <c r="I23">
        <f>IF($A23="","",COUNTIFS(Schedule!$G:$G,$A23,Schedule!$U:$U,$B$2,Schedule!$P:$P,"&gt;0")+COUNTIFS('TL Schedule'!$C:$C,$A23,'TL Schedule'!$K:$K,$B$2,'TL Schedule'!$J:$J,"&gt;0")+COUNTIFS(Schedule!$G:$G,$A23,Schedule!$U:$U,$C$2,Schedule!$P:$P,"&gt;0")+COUNTIFS('TL Schedule'!$C:$C,$A23,'TL Schedule'!$K:$K,$C$2,'TL Schedule'!$J:$J,"&gt;0"))</f>
        <v/>
      </c>
      <c r="J23">
        <f>IF($A23="","",IFERROR(TEXTJOIN(", ",TRUE,UNIQUE(FILTER(Schedule!$D$2:$D50000,Schedule!$G$2:$G50000=$A23,Schedule!$P$2:$P50000&gt;0,((Schedule!$U$2:$U50000=$B$2)+(Schedule!$U$2:$U50000=$C$2))))),""))</f>
        <v/>
      </c>
    </row>
    <row r="24">
      <c r="A24" t="inlineStr">
        <is>
          <t>Joseph Racca</t>
        </is>
      </c>
      <c r="B24">
        <f>IF($A24="","",SUMIFS(Schedule!$P:$P,Schedule!$G:$G,$A24,Schedule!$U:$U,$B$2)+SUMIFS('TL Schedule'!$J:$J,'TL Schedule'!$C:$C,$A24,'TL Schedule'!$K:$K,$B$2))</f>
        <v/>
      </c>
      <c r="C24">
        <f>IF($A24="","",SUMIFS(Schedule!$P:$P,Schedule!$G:$G,$A24,Schedule!$U:$U,$C$2)+SUMIFS('TL Schedule'!$J:$J,'TL Schedule'!$C:$C,$A24,'TL Schedule'!$K:$K,$C$2))</f>
        <v/>
      </c>
      <c r="D24">
        <f>IF($A24="","",B24+C24)</f>
        <v/>
      </c>
      <c r="E24">
        <f>IF($A24="","",SUMIFS(Overtime!$H:$H,Overtime!$B:$B,$A24,Overtime!$N:$N,$B$2)+SUMIFS(Overtime!$H:$H,Overtime!$B:$B,$A24,Overtime!$N:$N,$C$2))</f>
        <v/>
      </c>
      <c r="F24">
        <f>IF($A24="","",SUMIFS('Death Penalty'!$E:$E,'Death Penalty'!$B:$B,$A24,'Death Penalty'!$L:$L,$B$2)+SUMIFS('Death Penalty'!$E:$E,'Death Penalty'!$B:$B,$A24,'Death Penalty'!$L:$L,$C$2))</f>
        <v/>
      </c>
      <c r="G24">
        <f>IF($A24="","",D24+E24-F24)</f>
        <v/>
      </c>
      <c r="H24">
        <f>IF($A24="","",SUMIFS(Incentives!$H:$H,Incentives!$B:$B,$A24,Incentives!$N:$N,$B$2)+SUMIFS(Incentives!$H:$H,Incentives!$B:$B,$A24,Incentives!$N:$N,$C$2))</f>
        <v/>
      </c>
      <c r="I24">
        <f>IF($A24="","",COUNTIFS(Schedule!$G:$G,$A24,Schedule!$U:$U,$B$2,Schedule!$P:$P,"&gt;0")+COUNTIFS('TL Schedule'!$C:$C,$A24,'TL Schedule'!$K:$K,$B$2,'TL Schedule'!$J:$J,"&gt;0")+COUNTIFS(Schedule!$G:$G,$A24,Schedule!$U:$U,$C$2,Schedule!$P:$P,"&gt;0")+COUNTIFS('TL Schedule'!$C:$C,$A24,'TL Schedule'!$K:$K,$C$2,'TL Schedule'!$J:$J,"&gt;0"))</f>
        <v/>
      </c>
      <c r="J24">
        <f>IF($A24="","",IFERROR(TEXTJOIN(", ",TRUE,UNIQUE(FILTER(Schedule!$D$2:$D50000,Schedule!$G$2:$G50000=$A24,Schedule!$P$2:$P50000&gt;0,((Schedule!$U$2:$U50000=$B$2)+(Schedule!$U$2:$U50000=$C$2))))),""))</f>
        <v/>
      </c>
    </row>
    <row r="25">
      <c r="A25" t="inlineStr">
        <is>
          <t>Kim Carl</t>
        </is>
      </c>
      <c r="B25">
        <f>IF($A25="","",SUMIFS(Schedule!$P:$P,Schedule!$G:$G,$A25,Schedule!$U:$U,$B$2)+SUMIFS('TL Schedule'!$J:$J,'TL Schedule'!$C:$C,$A25,'TL Schedule'!$K:$K,$B$2))</f>
        <v/>
      </c>
      <c r="C25">
        <f>IF($A25="","",SUMIFS(Schedule!$P:$P,Schedule!$G:$G,$A25,Schedule!$U:$U,$C$2)+SUMIFS('TL Schedule'!$J:$J,'TL Schedule'!$C:$C,$A25,'TL Schedule'!$K:$K,$C$2))</f>
        <v/>
      </c>
      <c r="D25">
        <f>IF($A25="","",B25+C25)</f>
        <v/>
      </c>
      <c r="E25">
        <f>IF($A25="","",SUMIFS(Overtime!$H:$H,Overtime!$B:$B,$A25,Overtime!$N:$N,$B$2)+SUMIFS(Overtime!$H:$H,Overtime!$B:$B,$A25,Overtime!$N:$N,$C$2))</f>
        <v/>
      </c>
      <c r="F25">
        <f>IF($A25="","",SUMIFS('Death Penalty'!$E:$E,'Death Penalty'!$B:$B,$A25,'Death Penalty'!$L:$L,$B$2)+SUMIFS('Death Penalty'!$E:$E,'Death Penalty'!$B:$B,$A25,'Death Penalty'!$L:$L,$C$2))</f>
        <v/>
      </c>
      <c r="G25">
        <f>IF($A25="","",D25+E25-F25)</f>
        <v/>
      </c>
      <c r="H25">
        <f>IF($A25="","",SUMIFS(Incentives!$H:$H,Incentives!$B:$B,$A25,Incentives!$N:$N,$B$2)+SUMIFS(Incentives!$H:$H,Incentives!$B:$B,$A25,Incentives!$N:$N,$C$2))</f>
        <v/>
      </c>
      <c r="I25">
        <f>IF($A25="","",COUNTIFS(Schedule!$G:$G,$A25,Schedule!$U:$U,$B$2,Schedule!$P:$P,"&gt;0")+COUNTIFS('TL Schedule'!$C:$C,$A25,'TL Schedule'!$K:$K,$B$2,'TL Schedule'!$J:$J,"&gt;0")+COUNTIFS(Schedule!$G:$G,$A25,Schedule!$U:$U,$C$2,Schedule!$P:$P,"&gt;0")+COUNTIFS('TL Schedule'!$C:$C,$A25,'TL Schedule'!$K:$K,$C$2,'TL Schedule'!$J:$J,"&gt;0"))</f>
        <v/>
      </c>
      <c r="J25">
        <f>IF($A25="","",IFERROR(TEXTJOIN(", ",TRUE,UNIQUE(FILTER(Schedule!$D$2:$D50000,Schedule!$G$2:$G50000=$A25,Schedule!$P$2:$P50000&gt;0,((Schedule!$U$2:$U50000=$B$2)+(Schedule!$U$2:$U50000=$C$2))))),""))</f>
        <v/>
      </c>
    </row>
    <row r="26">
      <c r="A26" t="inlineStr">
        <is>
          <t>Lemark</t>
        </is>
      </c>
      <c r="B26">
        <f>IF($A26="","",SUMIFS(Schedule!$P:$P,Schedule!$G:$G,$A26,Schedule!$U:$U,$B$2)+SUMIFS('TL Schedule'!$J:$J,'TL Schedule'!$C:$C,$A26,'TL Schedule'!$K:$K,$B$2))</f>
        <v/>
      </c>
      <c r="C26">
        <f>IF($A26="","",SUMIFS(Schedule!$P:$P,Schedule!$G:$G,$A26,Schedule!$U:$U,$C$2)+SUMIFS('TL Schedule'!$J:$J,'TL Schedule'!$C:$C,$A26,'TL Schedule'!$K:$K,$C$2))</f>
        <v/>
      </c>
      <c r="D26">
        <f>IF($A26="","",B26+C26)</f>
        <v/>
      </c>
      <c r="E26">
        <f>IF($A26="","",SUMIFS(Overtime!$H:$H,Overtime!$B:$B,$A26,Overtime!$N:$N,$B$2)+SUMIFS(Overtime!$H:$H,Overtime!$B:$B,$A26,Overtime!$N:$N,$C$2))</f>
        <v/>
      </c>
      <c r="F26">
        <f>IF($A26="","",SUMIFS('Death Penalty'!$E:$E,'Death Penalty'!$B:$B,$A26,'Death Penalty'!$L:$L,$B$2)+SUMIFS('Death Penalty'!$E:$E,'Death Penalty'!$B:$B,$A26,'Death Penalty'!$L:$L,$C$2))</f>
        <v/>
      </c>
      <c r="G26">
        <f>IF($A26="","",D26+E26-F26)</f>
        <v/>
      </c>
      <c r="H26">
        <f>IF($A26="","",SUMIFS(Incentives!$H:$H,Incentives!$B:$B,$A26,Incentives!$N:$N,$B$2)+SUMIFS(Incentives!$H:$H,Incentives!$B:$B,$A26,Incentives!$N:$N,$C$2))</f>
        <v/>
      </c>
      <c r="I26">
        <f>IF($A26="","",COUNTIFS(Schedule!$G:$G,$A26,Schedule!$U:$U,$B$2,Schedule!$P:$P,"&gt;0")+COUNTIFS('TL Schedule'!$C:$C,$A26,'TL Schedule'!$K:$K,$B$2,'TL Schedule'!$J:$J,"&gt;0")+COUNTIFS(Schedule!$G:$G,$A26,Schedule!$U:$U,$C$2,Schedule!$P:$P,"&gt;0")+COUNTIFS('TL Schedule'!$C:$C,$A26,'TL Schedule'!$K:$K,$C$2,'TL Schedule'!$J:$J,"&gt;0"))</f>
        <v/>
      </c>
      <c r="J26">
        <f>IF($A26="","",IFERROR(TEXTJOIN(", ",TRUE,UNIQUE(FILTER(Schedule!$D$2:$D50000,Schedule!$G$2:$G50000=$A26,Schedule!$P$2:$P50000&gt;0,((Schedule!$U$2:$U50000=$B$2)+(Schedule!$U$2:$U50000=$C$2))))),""))</f>
        <v/>
      </c>
    </row>
    <row r="27">
      <c r="A27" t="inlineStr">
        <is>
          <t>Lourence</t>
        </is>
      </c>
      <c r="B27">
        <f>IF($A27="","",SUMIFS(Schedule!$P:$P,Schedule!$G:$G,$A27,Schedule!$U:$U,$B$2)+SUMIFS('TL Schedule'!$J:$J,'TL Schedule'!$C:$C,$A27,'TL Schedule'!$K:$K,$B$2))</f>
        <v/>
      </c>
      <c r="C27">
        <f>IF($A27="","",SUMIFS(Schedule!$P:$P,Schedule!$G:$G,$A27,Schedule!$U:$U,$C$2)+SUMIFS('TL Schedule'!$J:$J,'TL Schedule'!$C:$C,$A27,'TL Schedule'!$K:$K,$C$2))</f>
        <v/>
      </c>
      <c r="D27">
        <f>IF($A27="","",B27+C27)</f>
        <v/>
      </c>
      <c r="E27">
        <f>IF($A27="","",SUMIFS(Overtime!$H:$H,Overtime!$B:$B,$A27,Overtime!$N:$N,$B$2)+SUMIFS(Overtime!$H:$H,Overtime!$B:$B,$A27,Overtime!$N:$N,$C$2))</f>
        <v/>
      </c>
      <c r="F27">
        <f>IF($A27="","",SUMIFS('Death Penalty'!$E:$E,'Death Penalty'!$B:$B,$A27,'Death Penalty'!$L:$L,$B$2)+SUMIFS('Death Penalty'!$E:$E,'Death Penalty'!$B:$B,$A27,'Death Penalty'!$L:$L,$C$2))</f>
        <v/>
      </c>
      <c r="G27">
        <f>IF($A27="","",D27+E27-F27)</f>
        <v/>
      </c>
      <c r="H27">
        <f>IF($A27="","",SUMIFS(Incentives!$H:$H,Incentives!$B:$B,$A27,Incentives!$N:$N,$B$2)+SUMIFS(Incentives!$H:$H,Incentives!$B:$B,$A27,Incentives!$N:$N,$C$2))</f>
        <v/>
      </c>
      <c r="I27">
        <f>IF($A27="","",COUNTIFS(Schedule!$G:$G,$A27,Schedule!$U:$U,$B$2,Schedule!$P:$P,"&gt;0")+COUNTIFS('TL Schedule'!$C:$C,$A27,'TL Schedule'!$K:$K,$B$2,'TL Schedule'!$J:$J,"&gt;0")+COUNTIFS(Schedule!$G:$G,$A27,Schedule!$U:$U,$C$2,Schedule!$P:$P,"&gt;0")+COUNTIFS('TL Schedule'!$C:$C,$A27,'TL Schedule'!$K:$K,$C$2,'TL Schedule'!$J:$J,"&gt;0"))</f>
        <v/>
      </c>
      <c r="J27">
        <f>IF($A27="","",IFERROR(TEXTJOIN(", ",TRUE,UNIQUE(FILTER(Schedule!$D$2:$D50000,Schedule!$G$2:$G50000=$A27,Schedule!$P$2:$P50000&gt;0,((Schedule!$U$2:$U50000=$B$2)+(Schedule!$U$2:$U50000=$C$2))))),""))</f>
        <v/>
      </c>
    </row>
    <row r="28">
      <c r="A28" t="inlineStr">
        <is>
          <t>Mark Anthony</t>
        </is>
      </c>
      <c r="B28">
        <f>IF($A28="","",SUMIFS(Schedule!$P:$P,Schedule!$G:$G,$A28,Schedule!$U:$U,$B$2)+SUMIFS('TL Schedule'!$J:$J,'TL Schedule'!$C:$C,$A28,'TL Schedule'!$K:$K,$B$2))</f>
        <v/>
      </c>
      <c r="C28">
        <f>IF($A28="","",SUMIFS(Schedule!$P:$P,Schedule!$G:$G,$A28,Schedule!$U:$U,$C$2)+SUMIFS('TL Schedule'!$J:$J,'TL Schedule'!$C:$C,$A28,'TL Schedule'!$K:$K,$C$2))</f>
        <v/>
      </c>
      <c r="D28">
        <f>IF($A28="","",B28+C28)</f>
        <v/>
      </c>
      <c r="E28">
        <f>IF($A28="","",SUMIFS(Overtime!$H:$H,Overtime!$B:$B,$A28,Overtime!$N:$N,$B$2)+SUMIFS(Overtime!$H:$H,Overtime!$B:$B,$A28,Overtime!$N:$N,$C$2))</f>
        <v/>
      </c>
      <c r="F28">
        <f>IF($A28="","",SUMIFS('Death Penalty'!$E:$E,'Death Penalty'!$B:$B,$A28,'Death Penalty'!$L:$L,$B$2)+SUMIFS('Death Penalty'!$E:$E,'Death Penalty'!$B:$B,$A28,'Death Penalty'!$L:$L,$C$2))</f>
        <v/>
      </c>
      <c r="G28">
        <f>IF($A28="","",D28+E28-F28)</f>
        <v/>
      </c>
      <c r="H28">
        <f>IF($A28="","",SUMIFS(Incentives!$H:$H,Incentives!$B:$B,$A28,Incentives!$N:$N,$B$2)+SUMIFS(Incentives!$H:$H,Incentives!$B:$B,$A28,Incentives!$N:$N,$C$2))</f>
        <v/>
      </c>
      <c r="I28">
        <f>IF($A28="","",COUNTIFS(Schedule!$G:$G,$A28,Schedule!$U:$U,$B$2,Schedule!$P:$P,"&gt;0")+COUNTIFS('TL Schedule'!$C:$C,$A28,'TL Schedule'!$K:$K,$B$2,'TL Schedule'!$J:$J,"&gt;0")+COUNTIFS(Schedule!$G:$G,$A28,Schedule!$U:$U,$C$2,Schedule!$P:$P,"&gt;0")+COUNTIFS('TL Schedule'!$C:$C,$A28,'TL Schedule'!$K:$K,$C$2,'TL Schedule'!$J:$J,"&gt;0"))</f>
        <v/>
      </c>
      <c r="J28">
        <f>IF($A28="","",IFERROR(TEXTJOIN(", ",TRUE,UNIQUE(FILTER(Schedule!$D$2:$D50000,Schedule!$G$2:$G50000=$A28,Schedule!$P$2:$P50000&gt;0,((Schedule!$U$2:$U50000=$B$2)+(Schedule!$U$2:$U50000=$C$2))))),""))</f>
        <v/>
      </c>
    </row>
    <row r="29">
      <c r="A29" t="inlineStr">
        <is>
          <t>Mark Valdez</t>
        </is>
      </c>
      <c r="B29">
        <f>IF($A29="","",SUMIFS(Schedule!$P:$P,Schedule!$G:$G,$A29,Schedule!$U:$U,$B$2)+SUMIFS('TL Schedule'!$J:$J,'TL Schedule'!$C:$C,$A29,'TL Schedule'!$K:$K,$B$2))</f>
        <v/>
      </c>
      <c r="C29">
        <f>IF($A29="","",SUMIFS(Schedule!$P:$P,Schedule!$G:$G,$A29,Schedule!$U:$U,$C$2)+SUMIFS('TL Schedule'!$J:$J,'TL Schedule'!$C:$C,$A29,'TL Schedule'!$K:$K,$C$2))</f>
        <v/>
      </c>
      <c r="D29">
        <f>IF($A29="","",B29+C29)</f>
        <v/>
      </c>
      <c r="E29">
        <f>IF($A29="","",SUMIFS(Overtime!$H:$H,Overtime!$B:$B,$A29,Overtime!$N:$N,$B$2)+SUMIFS(Overtime!$H:$H,Overtime!$B:$B,$A29,Overtime!$N:$N,$C$2))</f>
        <v/>
      </c>
      <c r="F29">
        <f>IF($A29="","",SUMIFS('Death Penalty'!$E:$E,'Death Penalty'!$B:$B,$A29,'Death Penalty'!$L:$L,$B$2)+SUMIFS('Death Penalty'!$E:$E,'Death Penalty'!$B:$B,$A29,'Death Penalty'!$L:$L,$C$2))</f>
        <v/>
      </c>
      <c r="G29">
        <f>IF($A29="","",D29+E29-F29)</f>
        <v/>
      </c>
      <c r="H29">
        <f>IF($A29="","",SUMIFS(Incentives!$H:$H,Incentives!$B:$B,$A29,Incentives!$N:$N,$B$2)+SUMIFS(Incentives!$H:$H,Incentives!$B:$B,$A29,Incentives!$N:$N,$C$2))</f>
        <v/>
      </c>
      <c r="I29">
        <f>IF($A29="","",COUNTIFS(Schedule!$G:$G,$A29,Schedule!$U:$U,$B$2,Schedule!$P:$P,"&gt;0")+COUNTIFS('TL Schedule'!$C:$C,$A29,'TL Schedule'!$K:$K,$B$2,'TL Schedule'!$J:$J,"&gt;0")+COUNTIFS(Schedule!$G:$G,$A29,Schedule!$U:$U,$C$2,Schedule!$P:$P,"&gt;0")+COUNTIFS('TL Schedule'!$C:$C,$A29,'TL Schedule'!$K:$K,$C$2,'TL Schedule'!$J:$J,"&gt;0"))</f>
        <v/>
      </c>
      <c r="J29">
        <f>IF($A29="","",IFERROR(TEXTJOIN(", ",TRUE,UNIQUE(FILTER(Schedule!$D$2:$D50000,Schedule!$G$2:$G50000=$A29,Schedule!$P$2:$P50000&gt;0,((Schedule!$U$2:$U50000=$B$2)+(Schedule!$U$2:$U50000=$C$2))))),""))</f>
        <v/>
      </c>
    </row>
    <row r="30">
      <c r="A30" t="inlineStr">
        <is>
          <t>Micko Tanedo</t>
        </is>
      </c>
      <c r="B30">
        <f>IF($A30="","",SUMIFS(Schedule!$P:$P,Schedule!$G:$G,$A30,Schedule!$U:$U,$B$2)+SUMIFS('TL Schedule'!$J:$J,'TL Schedule'!$C:$C,$A30,'TL Schedule'!$K:$K,$B$2))</f>
        <v/>
      </c>
      <c r="C30">
        <f>IF($A30="","",SUMIFS(Schedule!$P:$P,Schedule!$G:$G,$A30,Schedule!$U:$U,$C$2)+SUMIFS('TL Schedule'!$J:$J,'TL Schedule'!$C:$C,$A30,'TL Schedule'!$K:$K,$C$2))</f>
        <v/>
      </c>
      <c r="D30">
        <f>IF($A30="","",B30+C30)</f>
        <v/>
      </c>
      <c r="E30">
        <f>IF($A30="","",SUMIFS(Overtime!$H:$H,Overtime!$B:$B,$A30,Overtime!$N:$N,$B$2)+SUMIFS(Overtime!$H:$H,Overtime!$B:$B,$A30,Overtime!$N:$N,$C$2))</f>
        <v/>
      </c>
      <c r="F30">
        <f>IF($A30="","",SUMIFS('Death Penalty'!$E:$E,'Death Penalty'!$B:$B,$A30,'Death Penalty'!$L:$L,$B$2)+SUMIFS('Death Penalty'!$E:$E,'Death Penalty'!$B:$B,$A30,'Death Penalty'!$L:$L,$C$2))</f>
        <v/>
      </c>
      <c r="G30">
        <f>IF($A30="","",D30+E30-F30)</f>
        <v/>
      </c>
      <c r="H30">
        <f>IF($A30="","",SUMIFS(Incentives!$H:$H,Incentives!$B:$B,$A30,Incentives!$N:$N,$B$2)+SUMIFS(Incentives!$H:$H,Incentives!$B:$B,$A30,Incentives!$N:$N,$C$2))</f>
        <v/>
      </c>
      <c r="I30">
        <f>IF($A30="","",COUNTIFS(Schedule!$G:$G,$A30,Schedule!$U:$U,$B$2,Schedule!$P:$P,"&gt;0")+COUNTIFS('TL Schedule'!$C:$C,$A30,'TL Schedule'!$K:$K,$B$2,'TL Schedule'!$J:$J,"&gt;0")+COUNTIFS(Schedule!$G:$G,$A30,Schedule!$U:$U,$C$2,Schedule!$P:$P,"&gt;0")+COUNTIFS('TL Schedule'!$C:$C,$A30,'TL Schedule'!$K:$K,$C$2,'TL Schedule'!$J:$J,"&gt;0"))</f>
        <v/>
      </c>
      <c r="J30">
        <f>IF($A30="","",IFERROR(TEXTJOIN(", ",TRUE,UNIQUE(FILTER(Schedule!$D$2:$D50000,Schedule!$G$2:$G50000=$A30,Schedule!$P$2:$P50000&gt;0,((Schedule!$U$2:$U50000=$B$2)+(Schedule!$U$2:$U50000=$C$2))))),""))</f>
        <v/>
      </c>
    </row>
    <row r="31">
      <c r="A31" t="inlineStr">
        <is>
          <t>Mitchell</t>
        </is>
      </c>
      <c r="B31">
        <f>IF($A31="","",SUMIFS(Schedule!$P:$P,Schedule!$G:$G,$A31,Schedule!$U:$U,$B$2)+SUMIFS('TL Schedule'!$J:$J,'TL Schedule'!$C:$C,$A31,'TL Schedule'!$K:$K,$B$2))</f>
        <v/>
      </c>
      <c r="C31">
        <f>IF($A31="","",SUMIFS(Schedule!$P:$P,Schedule!$G:$G,$A31,Schedule!$U:$U,$C$2)+SUMIFS('TL Schedule'!$J:$J,'TL Schedule'!$C:$C,$A31,'TL Schedule'!$K:$K,$C$2))</f>
        <v/>
      </c>
      <c r="D31">
        <f>IF($A31="","",B31+C31)</f>
        <v/>
      </c>
      <c r="E31">
        <f>IF($A31="","",SUMIFS(Overtime!$H:$H,Overtime!$B:$B,$A31,Overtime!$N:$N,$B$2)+SUMIFS(Overtime!$H:$H,Overtime!$B:$B,$A31,Overtime!$N:$N,$C$2))</f>
        <v/>
      </c>
      <c r="F31">
        <f>IF($A31="","",SUMIFS('Death Penalty'!$E:$E,'Death Penalty'!$B:$B,$A31,'Death Penalty'!$L:$L,$B$2)+SUMIFS('Death Penalty'!$E:$E,'Death Penalty'!$B:$B,$A31,'Death Penalty'!$L:$L,$C$2))</f>
        <v/>
      </c>
      <c r="G31">
        <f>IF($A31="","",D31+E31-F31)</f>
        <v/>
      </c>
      <c r="H31">
        <f>IF($A31="","",SUMIFS(Incentives!$H:$H,Incentives!$B:$B,$A31,Incentives!$N:$N,$B$2)+SUMIFS(Incentives!$H:$H,Incentives!$B:$B,$A31,Incentives!$N:$N,$C$2))</f>
        <v/>
      </c>
      <c r="I31">
        <f>IF($A31="","",COUNTIFS(Schedule!$G:$G,$A31,Schedule!$U:$U,$B$2,Schedule!$P:$P,"&gt;0")+COUNTIFS('TL Schedule'!$C:$C,$A31,'TL Schedule'!$K:$K,$B$2,'TL Schedule'!$J:$J,"&gt;0")+COUNTIFS(Schedule!$G:$G,$A31,Schedule!$U:$U,$C$2,Schedule!$P:$P,"&gt;0")+COUNTIFS('TL Schedule'!$C:$C,$A31,'TL Schedule'!$K:$K,$C$2,'TL Schedule'!$J:$J,"&gt;0"))</f>
        <v/>
      </c>
      <c r="J31">
        <f>IF($A31="","",IFERROR(TEXTJOIN(", ",TRUE,UNIQUE(FILTER(Schedule!$D$2:$D50000,Schedule!$G$2:$G50000=$A31,Schedule!$P$2:$P50000&gt;0,((Schedule!$U$2:$U50000=$B$2)+(Schedule!$U$2:$U50000=$C$2))))),""))</f>
        <v/>
      </c>
    </row>
    <row r="32">
      <c r="A32" t="inlineStr">
        <is>
          <t>Monteza</t>
        </is>
      </c>
      <c r="B32">
        <f>IF($A32="","",SUMIFS(Schedule!$P:$P,Schedule!$G:$G,$A32,Schedule!$U:$U,$B$2)+SUMIFS('TL Schedule'!$J:$J,'TL Schedule'!$C:$C,$A32,'TL Schedule'!$K:$K,$B$2))</f>
        <v/>
      </c>
      <c r="C32">
        <f>IF($A32="","",SUMIFS(Schedule!$P:$P,Schedule!$G:$G,$A32,Schedule!$U:$U,$C$2)+SUMIFS('TL Schedule'!$J:$J,'TL Schedule'!$C:$C,$A32,'TL Schedule'!$K:$K,$C$2))</f>
        <v/>
      </c>
      <c r="D32">
        <f>IF($A32="","",B32+C32)</f>
        <v/>
      </c>
      <c r="E32">
        <f>IF($A32="","",SUMIFS(Overtime!$H:$H,Overtime!$B:$B,$A32,Overtime!$N:$N,$B$2)+SUMIFS(Overtime!$H:$H,Overtime!$B:$B,$A32,Overtime!$N:$N,$C$2))</f>
        <v/>
      </c>
      <c r="F32">
        <f>IF($A32="","",SUMIFS('Death Penalty'!$E:$E,'Death Penalty'!$B:$B,$A32,'Death Penalty'!$L:$L,$B$2)+SUMIFS('Death Penalty'!$E:$E,'Death Penalty'!$B:$B,$A32,'Death Penalty'!$L:$L,$C$2))</f>
        <v/>
      </c>
      <c r="G32">
        <f>IF($A32="","",D32+E32-F32)</f>
        <v/>
      </c>
      <c r="H32">
        <f>IF($A32="","",SUMIFS(Incentives!$H:$H,Incentives!$B:$B,$A32,Incentives!$N:$N,$B$2)+SUMIFS(Incentives!$H:$H,Incentives!$B:$B,$A32,Incentives!$N:$N,$C$2))</f>
        <v/>
      </c>
      <c r="I32">
        <f>IF($A32="","",COUNTIFS(Schedule!$G:$G,$A32,Schedule!$U:$U,$B$2,Schedule!$P:$P,"&gt;0")+COUNTIFS('TL Schedule'!$C:$C,$A32,'TL Schedule'!$K:$K,$B$2,'TL Schedule'!$J:$J,"&gt;0")+COUNTIFS(Schedule!$G:$G,$A32,Schedule!$U:$U,$C$2,Schedule!$P:$P,"&gt;0")+COUNTIFS('TL Schedule'!$C:$C,$A32,'TL Schedule'!$K:$K,$C$2,'TL Schedule'!$J:$J,"&gt;0"))</f>
        <v/>
      </c>
      <c r="J32">
        <f>IF($A32="","",IFERROR(TEXTJOIN(", ",TRUE,UNIQUE(FILTER(Schedule!$D$2:$D50000,Schedule!$G$2:$G50000=$A32,Schedule!$P$2:$P50000&gt;0,((Schedule!$U$2:$U50000=$B$2)+(Schedule!$U$2:$U50000=$C$2))))),""))</f>
        <v/>
      </c>
    </row>
    <row r="33">
      <c r="A33" t="inlineStr">
        <is>
          <t>Patrick</t>
        </is>
      </c>
      <c r="B33">
        <f>IF($A33="","",SUMIFS(Schedule!$P:$P,Schedule!$G:$G,$A33,Schedule!$U:$U,$B$2)+SUMIFS('TL Schedule'!$J:$J,'TL Schedule'!$C:$C,$A33,'TL Schedule'!$K:$K,$B$2))</f>
        <v/>
      </c>
      <c r="C33">
        <f>IF($A33="","",SUMIFS(Schedule!$P:$P,Schedule!$G:$G,$A33,Schedule!$U:$U,$C$2)+SUMIFS('TL Schedule'!$J:$J,'TL Schedule'!$C:$C,$A33,'TL Schedule'!$K:$K,$C$2))</f>
        <v/>
      </c>
      <c r="D33">
        <f>IF($A33="","",B33+C33)</f>
        <v/>
      </c>
      <c r="E33">
        <f>IF($A33="","",SUMIFS(Overtime!$H:$H,Overtime!$B:$B,$A33,Overtime!$N:$N,$B$2)+SUMIFS(Overtime!$H:$H,Overtime!$B:$B,$A33,Overtime!$N:$N,$C$2))</f>
        <v/>
      </c>
      <c r="F33">
        <f>IF($A33="","",SUMIFS('Death Penalty'!$E:$E,'Death Penalty'!$B:$B,$A33,'Death Penalty'!$L:$L,$B$2)+SUMIFS('Death Penalty'!$E:$E,'Death Penalty'!$B:$B,$A33,'Death Penalty'!$L:$L,$C$2))</f>
        <v/>
      </c>
      <c r="G33">
        <f>IF($A33="","",D33+E33-F33)</f>
        <v/>
      </c>
      <c r="H33">
        <f>IF($A33="","",SUMIFS(Incentives!$H:$H,Incentives!$B:$B,$A33,Incentives!$N:$N,$B$2)+SUMIFS(Incentives!$H:$H,Incentives!$B:$B,$A33,Incentives!$N:$N,$C$2))</f>
        <v/>
      </c>
      <c r="I33">
        <f>IF($A33="","",COUNTIFS(Schedule!$G:$G,$A33,Schedule!$U:$U,$B$2,Schedule!$P:$P,"&gt;0")+COUNTIFS('TL Schedule'!$C:$C,$A33,'TL Schedule'!$K:$K,$B$2,'TL Schedule'!$J:$J,"&gt;0")+COUNTIFS(Schedule!$G:$G,$A33,Schedule!$U:$U,$C$2,Schedule!$P:$P,"&gt;0")+COUNTIFS('TL Schedule'!$C:$C,$A33,'TL Schedule'!$K:$K,$C$2,'TL Schedule'!$J:$J,"&gt;0"))</f>
        <v/>
      </c>
      <c r="J33">
        <f>IF($A33="","",IFERROR(TEXTJOIN(", ",TRUE,UNIQUE(FILTER(Schedule!$D$2:$D50000,Schedule!$G$2:$G50000=$A33,Schedule!$P$2:$P50000&gt;0,((Schedule!$U$2:$U50000=$B$2)+(Schedule!$U$2:$U50000=$C$2))))),""))</f>
        <v/>
      </c>
    </row>
    <row r="34">
      <c r="A34" t="inlineStr">
        <is>
          <t>Patrick Rivera</t>
        </is>
      </c>
      <c r="B34">
        <f>IF($A34="","",SUMIFS(Schedule!$P:$P,Schedule!$G:$G,$A34,Schedule!$U:$U,$B$2)+SUMIFS('TL Schedule'!$J:$J,'TL Schedule'!$C:$C,$A34,'TL Schedule'!$K:$K,$B$2))</f>
        <v/>
      </c>
      <c r="C34">
        <f>IF($A34="","",SUMIFS(Schedule!$P:$P,Schedule!$G:$G,$A34,Schedule!$U:$U,$C$2)+SUMIFS('TL Schedule'!$J:$J,'TL Schedule'!$C:$C,$A34,'TL Schedule'!$K:$K,$C$2))</f>
        <v/>
      </c>
      <c r="D34">
        <f>IF($A34="","",B34+C34)</f>
        <v/>
      </c>
      <c r="E34">
        <f>IF($A34="","",SUMIFS(Overtime!$H:$H,Overtime!$B:$B,$A34,Overtime!$N:$N,$B$2)+SUMIFS(Overtime!$H:$H,Overtime!$B:$B,$A34,Overtime!$N:$N,$C$2))</f>
        <v/>
      </c>
      <c r="F34">
        <f>IF($A34="","",SUMIFS('Death Penalty'!$E:$E,'Death Penalty'!$B:$B,$A34,'Death Penalty'!$L:$L,$B$2)+SUMIFS('Death Penalty'!$E:$E,'Death Penalty'!$B:$B,$A34,'Death Penalty'!$L:$L,$C$2))</f>
        <v/>
      </c>
      <c r="G34">
        <f>IF($A34="","",D34+E34-F34)</f>
        <v/>
      </c>
      <c r="H34">
        <f>IF($A34="","",SUMIFS(Incentives!$H:$H,Incentives!$B:$B,$A34,Incentives!$N:$N,$B$2)+SUMIFS(Incentives!$H:$H,Incentives!$B:$B,$A34,Incentives!$N:$N,$C$2))</f>
        <v/>
      </c>
      <c r="I34">
        <f>IF($A34="","",COUNTIFS(Schedule!$G:$G,$A34,Schedule!$U:$U,$B$2,Schedule!$P:$P,"&gt;0")+COUNTIFS('TL Schedule'!$C:$C,$A34,'TL Schedule'!$K:$K,$B$2,'TL Schedule'!$J:$J,"&gt;0")+COUNTIFS(Schedule!$G:$G,$A34,Schedule!$U:$U,$C$2,Schedule!$P:$P,"&gt;0")+COUNTIFS('TL Schedule'!$C:$C,$A34,'TL Schedule'!$K:$K,$C$2,'TL Schedule'!$J:$J,"&gt;0"))</f>
        <v/>
      </c>
      <c r="J34">
        <f>IF($A34="","",IFERROR(TEXTJOIN(", ",TRUE,UNIQUE(FILTER(Schedule!$D$2:$D50000,Schedule!$G$2:$G50000=$A34,Schedule!$P$2:$P50000&gt;0,((Schedule!$U$2:$U50000=$B$2)+(Schedule!$U$2:$U50000=$C$2))))),""))</f>
        <v/>
      </c>
    </row>
    <row r="35">
      <c r="A35" t="inlineStr">
        <is>
          <t>Raul</t>
        </is>
      </c>
      <c r="B35">
        <f>IF($A35="","",SUMIFS(Schedule!$P:$P,Schedule!$G:$G,$A35,Schedule!$U:$U,$B$2)+SUMIFS('TL Schedule'!$J:$J,'TL Schedule'!$C:$C,$A35,'TL Schedule'!$K:$K,$B$2))</f>
        <v/>
      </c>
      <c r="C35">
        <f>IF($A35="","",SUMIFS(Schedule!$P:$P,Schedule!$G:$G,$A35,Schedule!$U:$U,$C$2)+SUMIFS('TL Schedule'!$J:$J,'TL Schedule'!$C:$C,$A35,'TL Schedule'!$K:$K,$C$2))</f>
        <v/>
      </c>
      <c r="D35">
        <f>IF($A35="","",B35+C35)</f>
        <v/>
      </c>
      <c r="E35">
        <f>IF($A35="","",SUMIFS(Overtime!$H:$H,Overtime!$B:$B,$A35,Overtime!$N:$N,$B$2)+SUMIFS(Overtime!$H:$H,Overtime!$B:$B,$A35,Overtime!$N:$N,$C$2))</f>
        <v/>
      </c>
      <c r="F35">
        <f>IF($A35="","",SUMIFS('Death Penalty'!$E:$E,'Death Penalty'!$B:$B,$A35,'Death Penalty'!$L:$L,$B$2)+SUMIFS('Death Penalty'!$E:$E,'Death Penalty'!$B:$B,$A35,'Death Penalty'!$L:$L,$C$2))</f>
        <v/>
      </c>
      <c r="G35">
        <f>IF($A35="","",D35+E35-F35)</f>
        <v/>
      </c>
      <c r="H35">
        <f>IF($A35="","",SUMIFS(Incentives!$H:$H,Incentives!$B:$B,$A35,Incentives!$N:$N,$B$2)+SUMIFS(Incentives!$H:$H,Incentives!$B:$B,$A35,Incentives!$N:$N,$C$2))</f>
        <v/>
      </c>
      <c r="I35">
        <f>IF($A35="","",COUNTIFS(Schedule!$G:$G,$A35,Schedule!$U:$U,$B$2,Schedule!$P:$P,"&gt;0")+COUNTIFS('TL Schedule'!$C:$C,$A35,'TL Schedule'!$K:$K,$B$2,'TL Schedule'!$J:$J,"&gt;0")+COUNTIFS(Schedule!$G:$G,$A35,Schedule!$U:$U,$C$2,Schedule!$P:$P,"&gt;0")+COUNTIFS('TL Schedule'!$C:$C,$A35,'TL Schedule'!$K:$K,$C$2,'TL Schedule'!$J:$J,"&gt;0"))</f>
        <v/>
      </c>
      <c r="J35">
        <f>IF($A35="","",IFERROR(TEXTJOIN(", ",TRUE,UNIQUE(FILTER(Schedule!$D$2:$D50000,Schedule!$G$2:$G50000=$A35,Schedule!$P$2:$P50000&gt;0,((Schedule!$U$2:$U50000=$B$2)+(Schedule!$U$2:$U50000=$C$2))))),""))</f>
        <v/>
      </c>
    </row>
    <row r="36">
      <c r="A36" t="inlineStr">
        <is>
          <t>Raymond</t>
        </is>
      </c>
      <c r="B36">
        <f>IF($A36="","",SUMIFS(Schedule!$P:$P,Schedule!$G:$G,$A36,Schedule!$U:$U,$B$2)+SUMIFS('TL Schedule'!$J:$J,'TL Schedule'!$C:$C,$A36,'TL Schedule'!$K:$K,$B$2))</f>
        <v/>
      </c>
      <c r="C36">
        <f>IF($A36="","",SUMIFS(Schedule!$P:$P,Schedule!$G:$G,$A36,Schedule!$U:$U,$C$2)+SUMIFS('TL Schedule'!$J:$J,'TL Schedule'!$C:$C,$A36,'TL Schedule'!$K:$K,$C$2))</f>
        <v/>
      </c>
      <c r="D36">
        <f>IF($A36="","",B36+C36)</f>
        <v/>
      </c>
      <c r="E36">
        <f>IF($A36="","",SUMIFS(Overtime!$H:$H,Overtime!$B:$B,$A36,Overtime!$N:$N,$B$2)+SUMIFS(Overtime!$H:$H,Overtime!$B:$B,$A36,Overtime!$N:$N,$C$2))</f>
        <v/>
      </c>
      <c r="F36">
        <f>IF($A36="","",SUMIFS('Death Penalty'!$E:$E,'Death Penalty'!$B:$B,$A36,'Death Penalty'!$L:$L,$B$2)+SUMIFS('Death Penalty'!$E:$E,'Death Penalty'!$B:$B,$A36,'Death Penalty'!$L:$L,$C$2))</f>
        <v/>
      </c>
      <c r="G36">
        <f>IF($A36="","",D36+E36-F36)</f>
        <v/>
      </c>
      <c r="H36">
        <f>IF($A36="","",SUMIFS(Incentives!$H:$H,Incentives!$B:$B,$A36,Incentives!$N:$N,$B$2)+SUMIFS(Incentives!$H:$H,Incentives!$B:$B,$A36,Incentives!$N:$N,$C$2))</f>
        <v/>
      </c>
      <c r="I36">
        <f>IF($A36="","",COUNTIFS(Schedule!$G:$G,$A36,Schedule!$U:$U,$B$2,Schedule!$P:$P,"&gt;0")+COUNTIFS('TL Schedule'!$C:$C,$A36,'TL Schedule'!$K:$K,$B$2,'TL Schedule'!$J:$J,"&gt;0")+COUNTIFS(Schedule!$G:$G,$A36,Schedule!$U:$U,$C$2,Schedule!$P:$P,"&gt;0")+COUNTIFS('TL Schedule'!$C:$C,$A36,'TL Schedule'!$K:$K,$C$2,'TL Schedule'!$J:$J,"&gt;0"))</f>
        <v/>
      </c>
      <c r="J36">
        <f>IF($A36="","",IFERROR(TEXTJOIN(", ",TRUE,UNIQUE(FILTER(Schedule!$D$2:$D50000,Schedule!$G$2:$G50000=$A36,Schedule!$P$2:$P50000&gt;0,((Schedule!$U$2:$U50000=$B$2)+(Schedule!$U$2:$U50000=$C$2))))),""))</f>
        <v/>
      </c>
    </row>
    <row r="37">
      <c r="A37" t="inlineStr">
        <is>
          <t>Rhuzsel</t>
        </is>
      </c>
      <c r="B37">
        <f>IF($A37="","",SUMIFS(Schedule!$P:$P,Schedule!$G:$G,$A37,Schedule!$U:$U,$B$2)+SUMIFS('TL Schedule'!$J:$J,'TL Schedule'!$C:$C,$A37,'TL Schedule'!$K:$K,$B$2))</f>
        <v/>
      </c>
      <c r="C37">
        <f>IF($A37="","",SUMIFS(Schedule!$P:$P,Schedule!$G:$G,$A37,Schedule!$U:$U,$C$2)+SUMIFS('TL Schedule'!$J:$J,'TL Schedule'!$C:$C,$A37,'TL Schedule'!$K:$K,$C$2))</f>
        <v/>
      </c>
      <c r="D37">
        <f>IF($A37="","",B37+C37)</f>
        <v/>
      </c>
      <c r="E37">
        <f>IF($A37="","",SUMIFS(Overtime!$H:$H,Overtime!$B:$B,$A37,Overtime!$N:$N,$B$2)+SUMIFS(Overtime!$H:$H,Overtime!$B:$B,$A37,Overtime!$N:$N,$C$2))</f>
        <v/>
      </c>
      <c r="F37">
        <f>IF($A37="","",SUMIFS('Death Penalty'!$E:$E,'Death Penalty'!$B:$B,$A37,'Death Penalty'!$L:$L,$B$2)+SUMIFS('Death Penalty'!$E:$E,'Death Penalty'!$B:$B,$A37,'Death Penalty'!$L:$L,$C$2))</f>
        <v/>
      </c>
      <c r="G37">
        <f>IF($A37="","",D37+E37-F37)</f>
        <v/>
      </c>
      <c r="H37">
        <f>IF($A37="","",SUMIFS(Incentives!$H:$H,Incentives!$B:$B,$A37,Incentives!$N:$N,$B$2)+SUMIFS(Incentives!$H:$H,Incentives!$B:$B,$A37,Incentives!$N:$N,$C$2))</f>
        <v/>
      </c>
      <c r="I37">
        <f>IF($A37="","",COUNTIFS(Schedule!$G:$G,$A37,Schedule!$U:$U,$B$2,Schedule!$P:$P,"&gt;0")+COUNTIFS('TL Schedule'!$C:$C,$A37,'TL Schedule'!$K:$K,$B$2,'TL Schedule'!$J:$J,"&gt;0")+COUNTIFS(Schedule!$G:$G,$A37,Schedule!$U:$U,$C$2,Schedule!$P:$P,"&gt;0")+COUNTIFS('TL Schedule'!$C:$C,$A37,'TL Schedule'!$K:$K,$C$2,'TL Schedule'!$J:$J,"&gt;0"))</f>
        <v/>
      </c>
      <c r="J37">
        <f>IF($A37="","",IFERROR(TEXTJOIN(", ",TRUE,UNIQUE(FILTER(Schedule!$D$2:$D50000,Schedule!$G$2:$G50000=$A37,Schedule!$P$2:$P50000&gt;0,((Schedule!$U$2:$U50000=$B$2)+(Schedule!$U$2:$U50000=$C$2))))),""))</f>
        <v/>
      </c>
    </row>
    <row r="38">
      <c r="A38" t="inlineStr">
        <is>
          <t>Richard Salupari</t>
        </is>
      </c>
      <c r="B38">
        <f>IF($A38="","",SUMIFS(Schedule!$P:$P,Schedule!$G:$G,$A38,Schedule!$U:$U,$B$2)+SUMIFS('TL Schedule'!$J:$J,'TL Schedule'!$C:$C,$A38,'TL Schedule'!$K:$K,$B$2))</f>
        <v/>
      </c>
      <c r="C38">
        <f>IF($A38="","",SUMIFS(Schedule!$P:$P,Schedule!$G:$G,$A38,Schedule!$U:$U,$C$2)+SUMIFS('TL Schedule'!$J:$J,'TL Schedule'!$C:$C,$A38,'TL Schedule'!$K:$K,$C$2))</f>
        <v/>
      </c>
      <c r="D38">
        <f>IF($A38="","",B38+C38)</f>
        <v/>
      </c>
      <c r="E38">
        <f>IF($A38="","",SUMIFS(Overtime!$H:$H,Overtime!$B:$B,$A38,Overtime!$N:$N,$B$2)+SUMIFS(Overtime!$H:$H,Overtime!$B:$B,$A38,Overtime!$N:$N,$C$2))</f>
        <v/>
      </c>
      <c r="F38">
        <f>IF($A38="","",SUMIFS('Death Penalty'!$E:$E,'Death Penalty'!$B:$B,$A38,'Death Penalty'!$L:$L,$B$2)+SUMIFS('Death Penalty'!$E:$E,'Death Penalty'!$B:$B,$A38,'Death Penalty'!$L:$L,$C$2))</f>
        <v/>
      </c>
      <c r="G38">
        <f>IF($A38="","",D38+E38-F38)</f>
        <v/>
      </c>
      <c r="H38">
        <f>IF($A38="","",SUMIFS(Incentives!$H:$H,Incentives!$B:$B,$A38,Incentives!$N:$N,$B$2)+SUMIFS(Incentives!$H:$H,Incentives!$B:$B,$A38,Incentives!$N:$N,$C$2))</f>
        <v/>
      </c>
      <c r="I38">
        <f>IF($A38="","",COUNTIFS(Schedule!$G:$G,$A38,Schedule!$U:$U,$B$2,Schedule!$P:$P,"&gt;0")+COUNTIFS('TL Schedule'!$C:$C,$A38,'TL Schedule'!$K:$K,$B$2,'TL Schedule'!$J:$J,"&gt;0")+COUNTIFS(Schedule!$G:$G,$A38,Schedule!$U:$U,$C$2,Schedule!$P:$P,"&gt;0")+COUNTIFS('TL Schedule'!$C:$C,$A38,'TL Schedule'!$K:$K,$C$2,'TL Schedule'!$J:$J,"&gt;0"))</f>
        <v/>
      </c>
      <c r="J38">
        <f>IF($A38="","",IFERROR(TEXTJOIN(", ",TRUE,UNIQUE(FILTER(Schedule!$D$2:$D50000,Schedule!$G$2:$G50000=$A38,Schedule!$P$2:$P50000&gt;0,((Schedule!$U$2:$U50000=$B$2)+(Schedule!$U$2:$U50000=$C$2))))),""))</f>
        <v/>
      </c>
    </row>
    <row r="39">
      <c r="A39" t="inlineStr">
        <is>
          <t>Rodel</t>
        </is>
      </c>
      <c r="B39">
        <f>IF($A39="","",SUMIFS(Schedule!$P:$P,Schedule!$G:$G,$A39,Schedule!$U:$U,$B$2)+SUMIFS('TL Schedule'!$J:$J,'TL Schedule'!$C:$C,$A39,'TL Schedule'!$K:$K,$B$2))</f>
        <v/>
      </c>
      <c r="C39">
        <f>IF($A39="","",SUMIFS(Schedule!$P:$P,Schedule!$G:$G,$A39,Schedule!$U:$U,$C$2)+SUMIFS('TL Schedule'!$J:$J,'TL Schedule'!$C:$C,$A39,'TL Schedule'!$K:$K,$C$2))</f>
        <v/>
      </c>
      <c r="D39">
        <f>IF($A39="","",B39+C39)</f>
        <v/>
      </c>
      <c r="E39">
        <f>IF($A39="","",SUMIFS(Overtime!$H:$H,Overtime!$B:$B,$A39,Overtime!$N:$N,$B$2)+SUMIFS(Overtime!$H:$H,Overtime!$B:$B,$A39,Overtime!$N:$N,$C$2))</f>
        <v/>
      </c>
      <c r="F39">
        <f>IF($A39="","",SUMIFS('Death Penalty'!$E:$E,'Death Penalty'!$B:$B,$A39,'Death Penalty'!$L:$L,$B$2)+SUMIFS('Death Penalty'!$E:$E,'Death Penalty'!$B:$B,$A39,'Death Penalty'!$L:$L,$C$2))</f>
        <v/>
      </c>
      <c r="G39">
        <f>IF($A39="","",D39+E39-F39)</f>
        <v/>
      </c>
      <c r="H39">
        <f>IF($A39="","",SUMIFS(Incentives!$H:$H,Incentives!$B:$B,$A39,Incentives!$N:$N,$B$2)+SUMIFS(Incentives!$H:$H,Incentives!$B:$B,$A39,Incentives!$N:$N,$C$2))</f>
        <v/>
      </c>
      <c r="I39">
        <f>IF($A39="","",COUNTIFS(Schedule!$G:$G,$A39,Schedule!$U:$U,$B$2,Schedule!$P:$P,"&gt;0")+COUNTIFS('TL Schedule'!$C:$C,$A39,'TL Schedule'!$K:$K,$B$2,'TL Schedule'!$J:$J,"&gt;0")+COUNTIFS(Schedule!$G:$G,$A39,Schedule!$U:$U,$C$2,Schedule!$P:$P,"&gt;0")+COUNTIFS('TL Schedule'!$C:$C,$A39,'TL Schedule'!$K:$K,$C$2,'TL Schedule'!$J:$J,"&gt;0"))</f>
        <v/>
      </c>
      <c r="J39">
        <f>IF($A39="","",IFERROR(TEXTJOIN(", ",TRUE,UNIQUE(FILTER(Schedule!$D$2:$D50000,Schedule!$G$2:$G50000=$A39,Schedule!$P$2:$P50000&gt;0,((Schedule!$U$2:$U50000=$B$2)+(Schedule!$U$2:$U50000=$C$2))))),""))</f>
        <v/>
      </c>
    </row>
    <row r="40">
      <c r="A40" t="inlineStr">
        <is>
          <t>Roderick</t>
        </is>
      </c>
      <c r="B40">
        <f>IF($A40="","",SUMIFS(Schedule!$P:$P,Schedule!$G:$G,$A40,Schedule!$U:$U,$B$2)+SUMIFS('TL Schedule'!$J:$J,'TL Schedule'!$C:$C,$A40,'TL Schedule'!$K:$K,$B$2))</f>
        <v/>
      </c>
      <c r="C40">
        <f>IF($A40="","",SUMIFS(Schedule!$P:$P,Schedule!$G:$G,$A40,Schedule!$U:$U,$C$2)+SUMIFS('TL Schedule'!$J:$J,'TL Schedule'!$C:$C,$A40,'TL Schedule'!$K:$K,$C$2))</f>
        <v/>
      </c>
      <c r="D40">
        <f>IF($A40="","",B40+C40)</f>
        <v/>
      </c>
      <c r="E40">
        <f>IF($A40="","",SUMIFS(Overtime!$H:$H,Overtime!$B:$B,$A40,Overtime!$N:$N,$B$2)+SUMIFS(Overtime!$H:$H,Overtime!$B:$B,$A40,Overtime!$N:$N,$C$2))</f>
        <v/>
      </c>
      <c r="F40">
        <f>IF($A40="","",SUMIFS('Death Penalty'!$E:$E,'Death Penalty'!$B:$B,$A40,'Death Penalty'!$L:$L,$B$2)+SUMIFS('Death Penalty'!$E:$E,'Death Penalty'!$B:$B,$A40,'Death Penalty'!$L:$L,$C$2))</f>
        <v/>
      </c>
      <c r="G40">
        <f>IF($A40="","",D40+E40-F40)</f>
        <v/>
      </c>
      <c r="H40">
        <f>IF($A40="","",SUMIFS(Incentives!$H:$H,Incentives!$B:$B,$A40,Incentives!$N:$N,$B$2)+SUMIFS(Incentives!$H:$H,Incentives!$B:$B,$A40,Incentives!$N:$N,$C$2))</f>
        <v/>
      </c>
      <c r="I40">
        <f>IF($A40="","",COUNTIFS(Schedule!$G:$G,$A40,Schedule!$U:$U,$B$2,Schedule!$P:$P,"&gt;0")+COUNTIFS('TL Schedule'!$C:$C,$A40,'TL Schedule'!$K:$K,$B$2,'TL Schedule'!$J:$J,"&gt;0")+COUNTIFS(Schedule!$G:$G,$A40,Schedule!$U:$U,$C$2,Schedule!$P:$P,"&gt;0")+COUNTIFS('TL Schedule'!$C:$C,$A40,'TL Schedule'!$K:$K,$C$2,'TL Schedule'!$J:$J,"&gt;0"))</f>
        <v/>
      </c>
      <c r="J40">
        <f>IF($A40="","",IFERROR(TEXTJOIN(", ",TRUE,UNIQUE(FILTER(Schedule!$D$2:$D50000,Schedule!$G$2:$G50000=$A40,Schedule!$P$2:$P50000&gt;0,((Schedule!$U$2:$U50000=$B$2)+(Schedule!$U$2:$U50000=$C$2))))),""))</f>
        <v/>
      </c>
    </row>
    <row r="41">
      <c r="A41" t="inlineStr">
        <is>
          <t>Samantha</t>
        </is>
      </c>
      <c r="B41">
        <f>IF($A41="","",SUMIFS(Schedule!$P:$P,Schedule!$G:$G,$A41,Schedule!$U:$U,$B$2)+SUMIFS('TL Schedule'!$J:$J,'TL Schedule'!$C:$C,$A41,'TL Schedule'!$K:$K,$B$2))</f>
        <v/>
      </c>
      <c r="C41">
        <f>IF($A41="","",SUMIFS(Schedule!$P:$P,Schedule!$G:$G,$A41,Schedule!$U:$U,$C$2)+SUMIFS('TL Schedule'!$J:$J,'TL Schedule'!$C:$C,$A41,'TL Schedule'!$K:$K,$C$2))</f>
        <v/>
      </c>
      <c r="D41">
        <f>IF($A41="","",B41+C41)</f>
        <v/>
      </c>
      <c r="E41">
        <f>IF($A41="","",SUMIFS(Overtime!$H:$H,Overtime!$B:$B,$A41,Overtime!$N:$N,$B$2)+SUMIFS(Overtime!$H:$H,Overtime!$B:$B,$A41,Overtime!$N:$N,$C$2))</f>
        <v/>
      </c>
      <c r="F41">
        <f>IF($A41="","",SUMIFS('Death Penalty'!$E:$E,'Death Penalty'!$B:$B,$A41,'Death Penalty'!$L:$L,$B$2)+SUMIFS('Death Penalty'!$E:$E,'Death Penalty'!$B:$B,$A41,'Death Penalty'!$L:$L,$C$2))</f>
        <v/>
      </c>
      <c r="G41">
        <f>IF($A41="","",D41+E41-F41)</f>
        <v/>
      </c>
      <c r="H41">
        <f>IF($A41="","",SUMIFS(Incentives!$H:$H,Incentives!$B:$B,$A41,Incentives!$N:$N,$B$2)+SUMIFS(Incentives!$H:$H,Incentives!$B:$B,$A41,Incentives!$N:$N,$C$2))</f>
        <v/>
      </c>
      <c r="I41">
        <f>IF($A41="","",COUNTIFS(Schedule!$G:$G,$A41,Schedule!$U:$U,$B$2,Schedule!$P:$P,"&gt;0")+COUNTIFS('TL Schedule'!$C:$C,$A41,'TL Schedule'!$K:$K,$B$2,'TL Schedule'!$J:$J,"&gt;0")+COUNTIFS(Schedule!$G:$G,$A41,Schedule!$U:$U,$C$2,Schedule!$P:$P,"&gt;0")+COUNTIFS('TL Schedule'!$C:$C,$A41,'TL Schedule'!$K:$K,$C$2,'TL Schedule'!$J:$J,"&gt;0"))</f>
        <v/>
      </c>
      <c r="J41">
        <f>IF($A41="","",IFERROR(TEXTJOIN(", ",TRUE,UNIQUE(FILTER(Schedule!$D$2:$D50000,Schedule!$G$2:$G50000=$A41,Schedule!$P$2:$P50000&gt;0,((Schedule!$U$2:$U50000=$B$2)+(Schedule!$U$2:$U50000=$C$2))))),""))</f>
        <v/>
      </c>
    </row>
    <row r="42">
      <c r="A42" t="inlineStr">
        <is>
          <t>Smartley</t>
        </is>
      </c>
      <c r="B42">
        <f>IF($A42="","",SUMIFS(Schedule!$P:$P,Schedule!$G:$G,$A42,Schedule!$U:$U,$B$2)+SUMIFS('TL Schedule'!$J:$J,'TL Schedule'!$C:$C,$A42,'TL Schedule'!$K:$K,$B$2))</f>
        <v/>
      </c>
      <c r="C42">
        <f>IF($A42="","",SUMIFS(Schedule!$P:$P,Schedule!$G:$G,$A42,Schedule!$U:$U,$C$2)+SUMIFS('TL Schedule'!$J:$J,'TL Schedule'!$C:$C,$A42,'TL Schedule'!$K:$K,$C$2))</f>
        <v/>
      </c>
      <c r="D42">
        <f>IF($A42="","",B42+C42)</f>
        <v/>
      </c>
      <c r="E42">
        <f>IF($A42="","",SUMIFS(Overtime!$H:$H,Overtime!$B:$B,$A42,Overtime!$N:$N,$B$2)+SUMIFS(Overtime!$H:$H,Overtime!$B:$B,$A42,Overtime!$N:$N,$C$2))</f>
        <v/>
      </c>
      <c r="F42">
        <f>IF($A42="","",SUMIFS('Death Penalty'!$E:$E,'Death Penalty'!$B:$B,$A42,'Death Penalty'!$L:$L,$B$2)+SUMIFS('Death Penalty'!$E:$E,'Death Penalty'!$B:$B,$A42,'Death Penalty'!$L:$L,$C$2))</f>
        <v/>
      </c>
      <c r="G42">
        <f>IF($A42="","",D42+E42-F42)</f>
        <v/>
      </c>
      <c r="H42">
        <f>IF($A42="","",SUMIFS(Incentives!$H:$H,Incentives!$B:$B,$A42,Incentives!$N:$N,$B$2)+SUMIFS(Incentives!$H:$H,Incentives!$B:$B,$A42,Incentives!$N:$N,$C$2))</f>
        <v/>
      </c>
      <c r="I42">
        <f>IF($A42="","",COUNTIFS(Schedule!$G:$G,$A42,Schedule!$U:$U,$B$2,Schedule!$P:$P,"&gt;0")+COUNTIFS('TL Schedule'!$C:$C,$A42,'TL Schedule'!$K:$K,$B$2,'TL Schedule'!$J:$J,"&gt;0")+COUNTIFS(Schedule!$G:$G,$A42,Schedule!$U:$U,$C$2,Schedule!$P:$P,"&gt;0")+COUNTIFS('TL Schedule'!$C:$C,$A42,'TL Schedule'!$K:$K,$C$2,'TL Schedule'!$J:$J,"&gt;0"))</f>
        <v/>
      </c>
      <c r="J42">
        <f>IF($A42="","",IFERROR(TEXTJOIN(", ",TRUE,UNIQUE(FILTER(Schedule!$D$2:$D50000,Schedule!$G$2:$G50000=$A42,Schedule!$P$2:$P50000&gt;0,((Schedule!$U$2:$U50000=$B$2)+(Schedule!$U$2:$U50000=$C$2))))),""))</f>
        <v/>
      </c>
    </row>
    <row r="43">
      <c r="A43" t="inlineStr">
        <is>
          <t>TL-John</t>
        </is>
      </c>
      <c r="B43">
        <f>IF($A43="","",SUMIFS(Schedule!$P:$P,Schedule!$G:$G,$A43,Schedule!$U:$U,$B$2)+SUMIFS('TL Schedule'!$J:$J,'TL Schedule'!$C:$C,$A43,'TL Schedule'!$K:$K,$B$2))</f>
        <v/>
      </c>
      <c r="C43">
        <f>IF($A43="","",SUMIFS(Schedule!$P:$P,Schedule!$G:$G,$A43,Schedule!$U:$U,$C$2)+SUMIFS('TL Schedule'!$J:$J,'TL Schedule'!$C:$C,$A43,'TL Schedule'!$K:$K,$C$2))</f>
        <v/>
      </c>
      <c r="D43">
        <f>IF($A43="","",B43+C43)</f>
        <v/>
      </c>
      <c r="E43">
        <f>IF($A43="","",SUMIFS(Overtime!$H:$H,Overtime!$B:$B,$A43,Overtime!$N:$N,$B$2)+SUMIFS(Overtime!$H:$H,Overtime!$B:$B,$A43,Overtime!$N:$N,$C$2))</f>
        <v/>
      </c>
      <c r="F43">
        <f>IF($A43="","",SUMIFS('Death Penalty'!$E:$E,'Death Penalty'!$B:$B,$A43,'Death Penalty'!$L:$L,$B$2)+SUMIFS('Death Penalty'!$E:$E,'Death Penalty'!$B:$B,$A43,'Death Penalty'!$L:$L,$C$2))</f>
        <v/>
      </c>
      <c r="G43">
        <f>IF($A43="","",D43+E43-F43)</f>
        <v/>
      </c>
      <c r="H43">
        <f>IF($A43="","",SUMIFS(Incentives!$H:$H,Incentives!$B:$B,$A43,Incentives!$N:$N,$B$2)+SUMIFS(Incentives!$H:$H,Incentives!$B:$B,$A43,Incentives!$N:$N,$C$2))</f>
        <v/>
      </c>
      <c r="I43">
        <f>IF($A43="","",COUNTIFS(Schedule!$G:$G,$A43,Schedule!$U:$U,$B$2,Schedule!$P:$P,"&gt;0")+COUNTIFS('TL Schedule'!$C:$C,$A43,'TL Schedule'!$K:$K,$B$2,'TL Schedule'!$J:$J,"&gt;0")+COUNTIFS(Schedule!$G:$G,$A43,Schedule!$U:$U,$C$2,Schedule!$P:$P,"&gt;0")+COUNTIFS('TL Schedule'!$C:$C,$A43,'TL Schedule'!$K:$K,$C$2,'TL Schedule'!$J:$J,"&gt;0"))</f>
        <v/>
      </c>
      <c r="J43">
        <f>IF($A43="","",IFERROR(TEXTJOIN(", ",TRUE,UNIQUE(FILTER(Schedule!$D$2:$D50000,Schedule!$G$2:$G50000=$A43,Schedule!$P$2:$P50000&gt;0,((Schedule!$U$2:$U50000=$B$2)+(Schedule!$U$2:$U50000=$C$2))))),""))</f>
        <v/>
      </c>
    </row>
    <row r="44">
      <c r="A44" t="inlineStr">
        <is>
          <t>Zenron</t>
        </is>
      </c>
      <c r="B44">
        <f>IF($A44="","",SUMIFS(Schedule!$P:$P,Schedule!$G:$G,$A44,Schedule!$U:$U,$B$2)+SUMIFS('TL Schedule'!$J:$J,'TL Schedule'!$C:$C,$A44,'TL Schedule'!$K:$K,$B$2))</f>
        <v/>
      </c>
      <c r="C44">
        <f>IF($A44="","",SUMIFS(Schedule!$P:$P,Schedule!$G:$G,$A44,Schedule!$U:$U,$C$2)+SUMIFS('TL Schedule'!$J:$J,'TL Schedule'!$C:$C,$A44,'TL Schedule'!$K:$K,$C$2))</f>
        <v/>
      </c>
      <c r="D44">
        <f>IF($A44="","",B44+C44)</f>
        <v/>
      </c>
      <c r="E44">
        <f>IF($A44="","",SUMIFS(Overtime!$H:$H,Overtime!$B:$B,$A44,Overtime!$N:$N,$B$2)+SUMIFS(Overtime!$H:$H,Overtime!$B:$B,$A44,Overtime!$N:$N,$C$2))</f>
        <v/>
      </c>
      <c r="F44">
        <f>IF($A44="","",SUMIFS('Death Penalty'!$E:$E,'Death Penalty'!$B:$B,$A44,'Death Penalty'!$L:$L,$B$2)+SUMIFS('Death Penalty'!$E:$E,'Death Penalty'!$B:$B,$A44,'Death Penalty'!$L:$L,$C$2))</f>
        <v/>
      </c>
      <c r="G44">
        <f>IF($A44="","",D44+E44-F44)</f>
        <v/>
      </c>
      <c r="H44">
        <f>IF($A44="","",SUMIFS(Incentives!$H:$H,Incentives!$B:$B,$A44,Incentives!$N:$N,$B$2)+SUMIFS(Incentives!$H:$H,Incentives!$B:$B,$A44,Incentives!$N:$N,$C$2))</f>
        <v/>
      </c>
      <c r="I44">
        <f>IF($A44="","",COUNTIFS(Schedule!$G:$G,$A44,Schedule!$U:$U,$B$2,Schedule!$P:$P,"&gt;0")+COUNTIFS('TL Schedule'!$C:$C,$A44,'TL Schedule'!$K:$K,$B$2,'TL Schedule'!$J:$J,"&gt;0")+COUNTIFS(Schedule!$G:$G,$A44,Schedule!$U:$U,$C$2,Schedule!$P:$P,"&gt;0")+COUNTIFS('TL Schedule'!$C:$C,$A44,'TL Schedule'!$K:$K,$C$2,'TL Schedule'!$J:$J,"&gt;0"))</f>
        <v/>
      </c>
      <c r="J44">
        <f>IF($A44="","",IFERROR(TEXTJOIN(", ",TRUE,UNIQUE(FILTER(Schedule!$D$2:$D50000,Schedule!$G$2:$G50000=$A44,Schedule!$P$2:$P50000&gt;0,((Schedule!$U$2:$U50000=$B$2)+(Schedule!$U$2:$U50000=$C$2))))),""))</f>
        <v/>
      </c>
    </row>
    <row r="45">
      <c r="B45">
        <f>IF($A45="","",SUMIFS(Schedule!$P:$P,Schedule!$G:$G,$A45,Schedule!$U:$U,$B$2)+SUMIFS('TL Schedule'!$J:$J,'TL Schedule'!$C:$C,$A45,'TL Schedule'!$K:$K,$B$2))</f>
        <v/>
      </c>
      <c r="C45">
        <f>IF($A45="","",SUMIFS(Schedule!$P:$P,Schedule!$G:$G,$A45,Schedule!$U:$U,$C$2)+SUMIFS('TL Schedule'!$J:$J,'TL Schedule'!$C:$C,$A45,'TL Schedule'!$K:$K,$C$2))</f>
        <v/>
      </c>
      <c r="D45">
        <f>IF($A45="","",B45+C45)</f>
        <v/>
      </c>
      <c r="E45">
        <f>IF($A45="","",SUMIFS(Overtime!$H:$H,Overtime!$B:$B,$A45,Overtime!$N:$N,$B$2)+SUMIFS(Overtime!$H:$H,Overtime!$B:$B,$A45,Overtime!$N:$N,$C$2))</f>
        <v/>
      </c>
      <c r="F45">
        <f>IF($A45="","",SUMIFS('Death Penalty'!$E:$E,'Death Penalty'!$B:$B,$A45,'Death Penalty'!$L:$L,$B$2)+SUMIFS('Death Penalty'!$E:$E,'Death Penalty'!$B:$B,$A45,'Death Penalty'!$L:$L,$C$2))</f>
        <v/>
      </c>
      <c r="G45">
        <f>IF($A45="","",D45+E45-F45)</f>
        <v/>
      </c>
      <c r="H45">
        <f>IF($A45="","",SUMIFS(Incentives!$H:$H,Incentives!$B:$B,$A45,Incentives!$N:$N,$B$2)+SUMIFS(Incentives!$H:$H,Incentives!$B:$B,$A45,Incentives!$N:$N,$C$2))</f>
        <v/>
      </c>
      <c r="I45">
        <f>IF($A45="","",COUNTIFS(Schedule!$G:$G,$A45,Schedule!$U:$U,$B$2,Schedule!$P:$P,"&gt;0")+COUNTIFS('TL Schedule'!$C:$C,$A45,'TL Schedule'!$K:$K,$B$2,'TL Schedule'!$J:$J,"&gt;0")+COUNTIFS(Schedule!$G:$G,$A45,Schedule!$U:$U,$C$2,Schedule!$P:$P,"&gt;0")+COUNTIFS('TL Schedule'!$C:$C,$A45,'TL Schedule'!$K:$K,$C$2,'TL Schedule'!$J:$J,"&gt;0"))</f>
        <v/>
      </c>
      <c r="J45">
        <f>IF($A45="","",IFERROR(TEXTJOIN(", ",TRUE,UNIQUE(FILTER(Schedule!$D$2:$D50000,Schedule!$G$2:$G50000=$A45,Schedule!$P$2:$P50000&gt;0,((Schedule!$U$2:$U50000=$B$2)+(Schedule!$U$2:$U50000=$C$2))))),""))</f>
        <v/>
      </c>
    </row>
    <row r="46">
      <c r="B46">
        <f>IF($A46="","",SUMIFS(Schedule!$P:$P,Schedule!$G:$G,$A46,Schedule!$U:$U,$B$2)+SUMIFS('TL Schedule'!$J:$J,'TL Schedule'!$C:$C,$A46,'TL Schedule'!$K:$K,$B$2))</f>
        <v/>
      </c>
      <c r="C46">
        <f>IF($A46="","",SUMIFS(Schedule!$P:$P,Schedule!$G:$G,$A46,Schedule!$U:$U,$C$2)+SUMIFS('TL Schedule'!$J:$J,'TL Schedule'!$C:$C,$A46,'TL Schedule'!$K:$K,$C$2))</f>
        <v/>
      </c>
      <c r="D46">
        <f>IF($A46="","",B46+C46)</f>
        <v/>
      </c>
      <c r="E46">
        <f>IF($A46="","",SUMIFS(Overtime!$H:$H,Overtime!$B:$B,$A46,Overtime!$N:$N,$B$2)+SUMIFS(Overtime!$H:$H,Overtime!$B:$B,$A46,Overtime!$N:$N,$C$2))</f>
        <v/>
      </c>
      <c r="F46">
        <f>IF($A46="","",SUMIFS('Death Penalty'!$E:$E,'Death Penalty'!$B:$B,$A46,'Death Penalty'!$L:$L,$B$2)+SUMIFS('Death Penalty'!$E:$E,'Death Penalty'!$B:$B,$A46,'Death Penalty'!$L:$L,$C$2))</f>
        <v/>
      </c>
      <c r="G46">
        <f>IF($A46="","",D46+E46-F46)</f>
        <v/>
      </c>
      <c r="H46">
        <f>IF($A46="","",SUMIFS(Incentives!$H:$H,Incentives!$B:$B,$A46,Incentives!$N:$N,$B$2)+SUMIFS(Incentives!$H:$H,Incentives!$B:$B,$A46,Incentives!$N:$N,$C$2))</f>
        <v/>
      </c>
      <c r="I46">
        <f>IF($A46="","",COUNTIFS(Schedule!$G:$G,$A46,Schedule!$U:$U,$B$2,Schedule!$P:$P,"&gt;0")+COUNTIFS('TL Schedule'!$C:$C,$A46,'TL Schedule'!$K:$K,$B$2,'TL Schedule'!$J:$J,"&gt;0")+COUNTIFS(Schedule!$G:$G,$A46,Schedule!$U:$U,$C$2,Schedule!$P:$P,"&gt;0")+COUNTIFS('TL Schedule'!$C:$C,$A46,'TL Schedule'!$K:$K,$C$2,'TL Schedule'!$J:$J,"&gt;0"))</f>
        <v/>
      </c>
      <c r="J46">
        <f>IF($A46="","",IFERROR(TEXTJOIN(", ",TRUE,UNIQUE(FILTER(Schedule!$D$2:$D50000,Schedule!$G$2:$G50000=$A46,Schedule!$P$2:$P50000&gt;0,((Schedule!$U$2:$U50000=$B$2)+(Schedule!$U$2:$U50000=$C$2))))),""))</f>
        <v/>
      </c>
    </row>
    <row r="47">
      <c r="B47">
        <f>IF($A47="","",SUMIFS(Schedule!$P:$P,Schedule!$G:$G,$A47,Schedule!$U:$U,$B$2)+SUMIFS('TL Schedule'!$J:$J,'TL Schedule'!$C:$C,$A47,'TL Schedule'!$K:$K,$B$2))</f>
        <v/>
      </c>
      <c r="C47">
        <f>IF($A47="","",SUMIFS(Schedule!$P:$P,Schedule!$G:$G,$A47,Schedule!$U:$U,$C$2)+SUMIFS('TL Schedule'!$J:$J,'TL Schedule'!$C:$C,$A47,'TL Schedule'!$K:$K,$C$2))</f>
        <v/>
      </c>
      <c r="D47">
        <f>IF($A47="","",B47+C47)</f>
        <v/>
      </c>
      <c r="E47">
        <f>IF($A47="","",SUMIFS(Overtime!$H:$H,Overtime!$B:$B,$A47,Overtime!$N:$N,$B$2)+SUMIFS(Overtime!$H:$H,Overtime!$B:$B,$A47,Overtime!$N:$N,$C$2))</f>
        <v/>
      </c>
      <c r="F47">
        <f>IF($A47="","",SUMIFS('Death Penalty'!$E:$E,'Death Penalty'!$B:$B,$A47,'Death Penalty'!$L:$L,$B$2)+SUMIFS('Death Penalty'!$E:$E,'Death Penalty'!$B:$B,$A47,'Death Penalty'!$L:$L,$C$2))</f>
        <v/>
      </c>
      <c r="G47">
        <f>IF($A47="","",D47+E47-F47)</f>
        <v/>
      </c>
      <c r="H47">
        <f>IF($A47="","",SUMIFS(Incentives!$H:$H,Incentives!$B:$B,$A47,Incentives!$N:$N,$B$2)+SUMIFS(Incentives!$H:$H,Incentives!$B:$B,$A47,Incentives!$N:$N,$C$2))</f>
        <v/>
      </c>
      <c r="I47">
        <f>IF($A47="","",COUNTIFS(Schedule!$G:$G,$A47,Schedule!$U:$U,$B$2,Schedule!$P:$P,"&gt;0")+COUNTIFS('TL Schedule'!$C:$C,$A47,'TL Schedule'!$K:$K,$B$2,'TL Schedule'!$J:$J,"&gt;0")+COUNTIFS(Schedule!$G:$G,$A47,Schedule!$U:$U,$C$2,Schedule!$P:$P,"&gt;0")+COUNTIFS('TL Schedule'!$C:$C,$A47,'TL Schedule'!$K:$K,$C$2,'TL Schedule'!$J:$J,"&gt;0"))</f>
        <v/>
      </c>
      <c r="J47">
        <f>IF($A47="","",IFERROR(TEXTJOIN(", ",TRUE,UNIQUE(FILTER(Schedule!$D$2:$D50000,Schedule!$G$2:$G50000=$A47,Schedule!$P$2:$P50000&gt;0,((Schedule!$U$2:$U50000=$B$2)+(Schedule!$U$2:$U50000=$C$2))))),""))</f>
        <v/>
      </c>
    </row>
    <row r="48">
      <c r="B48">
        <f>IF($A48="","",SUMIFS(Schedule!$P:$P,Schedule!$G:$G,$A48,Schedule!$U:$U,$B$2)+SUMIFS('TL Schedule'!$J:$J,'TL Schedule'!$C:$C,$A48,'TL Schedule'!$K:$K,$B$2))</f>
        <v/>
      </c>
      <c r="C48">
        <f>IF($A48="","",SUMIFS(Schedule!$P:$P,Schedule!$G:$G,$A48,Schedule!$U:$U,$C$2)+SUMIFS('TL Schedule'!$J:$J,'TL Schedule'!$C:$C,$A48,'TL Schedule'!$K:$K,$C$2))</f>
        <v/>
      </c>
      <c r="D48">
        <f>IF($A48="","",B48+C48)</f>
        <v/>
      </c>
      <c r="E48">
        <f>IF($A48="","",SUMIFS(Overtime!$H:$H,Overtime!$B:$B,$A48,Overtime!$N:$N,$B$2)+SUMIFS(Overtime!$H:$H,Overtime!$B:$B,$A48,Overtime!$N:$N,$C$2))</f>
        <v/>
      </c>
      <c r="F48">
        <f>IF($A48="","",SUMIFS('Death Penalty'!$E:$E,'Death Penalty'!$B:$B,$A48,'Death Penalty'!$L:$L,$B$2)+SUMIFS('Death Penalty'!$E:$E,'Death Penalty'!$B:$B,$A48,'Death Penalty'!$L:$L,$C$2))</f>
        <v/>
      </c>
      <c r="G48">
        <f>IF($A48="","",D48+E48-F48)</f>
        <v/>
      </c>
      <c r="H48">
        <f>IF($A48="","",SUMIFS(Incentives!$H:$H,Incentives!$B:$B,$A48,Incentives!$N:$N,$B$2)+SUMIFS(Incentives!$H:$H,Incentives!$B:$B,$A48,Incentives!$N:$N,$C$2))</f>
        <v/>
      </c>
      <c r="I48">
        <f>IF($A48="","",COUNTIFS(Schedule!$G:$G,$A48,Schedule!$U:$U,$B$2,Schedule!$P:$P,"&gt;0")+COUNTIFS('TL Schedule'!$C:$C,$A48,'TL Schedule'!$K:$K,$B$2,'TL Schedule'!$J:$J,"&gt;0")+COUNTIFS(Schedule!$G:$G,$A48,Schedule!$U:$U,$C$2,Schedule!$P:$P,"&gt;0")+COUNTIFS('TL Schedule'!$C:$C,$A48,'TL Schedule'!$K:$K,$C$2,'TL Schedule'!$J:$J,"&gt;0"))</f>
        <v/>
      </c>
      <c r="J48">
        <f>IF($A48="","",IFERROR(TEXTJOIN(", ",TRUE,UNIQUE(FILTER(Schedule!$D$2:$D50000,Schedule!$G$2:$G50000=$A48,Schedule!$P$2:$P50000&gt;0,((Schedule!$U$2:$U50000=$B$2)+(Schedule!$U$2:$U50000=$C$2))))),""))</f>
        <v/>
      </c>
    </row>
    <row r="49">
      <c r="B49">
        <f>IF($A49="","",SUMIFS(Schedule!$P:$P,Schedule!$G:$G,$A49,Schedule!$U:$U,$B$2)+SUMIFS('TL Schedule'!$J:$J,'TL Schedule'!$C:$C,$A49,'TL Schedule'!$K:$K,$B$2))</f>
        <v/>
      </c>
      <c r="C49">
        <f>IF($A49="","",SUMIFS(Schedule!$P:$P,Schedule!$G:$G,$A49,Schedule!$U:$U,$C$2)+SUMIFS('TL Schedule'!$J:$J,'TL Schedule'!$C:$C,$A49,'TL Schedule'!$K:$K,$C$2))</f>
        <v/>
      </c>
      <c r="D49">
        <f>IF($A49="","",B49+C49)</f>
        <v/>
      </c>
      <c r="E49">
        <f>IF($A49="","",SUMIFS(Overtime!$H:$H,Overtime!$B:$B,$A49,Overtime!$N:$N,$B$2)+SUMIFS(Overtime!$H:$H,Overtime!$B:$B,$A49,Overtime!$N:$N,$C$2))</f>
        <v/>
      </c>
      <c r="F49">
        <f>IF($A49="","",SUMIFS('Death Penalty'!$E:$E,'Death Penalty'!$B:$B,$A49,'Death Penalty'!$L:$L,$B$2)+SUMIFS('Death Penalty'!$E:$E,'Death Penalty'!$B:$B,$A49,'Death Penalty'!$L:$L,$C$2))</f>
        <v/>
      </c>
      <c r="G49">
        <f>IF($A49="","",D49+E49-F49)</f>
        <v/>
      </c>
      <c r="H49">
        <f>IF($A49="","",SUMIFS(Incentives!$H:$H,Incentives!$B:$B,$A49,Incentives!$N:$N,$B$2)+SUMIFS(Incentives!$H:$H,Incentives!$B:$B,$A49,Incentives!$N:$N,$C$2))</f>
        <v/>
      </c>
      <c r="I49">
        <f>IF($A49="","",COUNTIFS(Schedule!$G:$G,$A49,Schedule!$U:$U,$B$2,Schedule!$P:$P,"&gt;0")+COUNTIFS('TL Schedule'!$C:$C,$A49,'TL Schedule'!$K:$K,$B$2,'TL Schedule'!$J:$J,"&gt;0")+COUNTIFS(Schedule!$G:$G,$A49,Schedule!$U:$U,$C$2,Schedule!$P:$P,"&gt;0")+COUNTIFS('TL Schedule'!$C:$C,$A49,'TL Schedule'!$K:$K,$C$2,'TL Schedule'!$J:$J,"&gt;0"))</f>
        <v/>
      </c>
      <c r="J49">
        <f>IF($A49="","",IFERROR(TEXTJOIN(", ",TRUE,UNIQUE(FILTER(Schedule!$D$2:$D50000,Schedule!$G$2:$G50000=$A49,Schedule!$P$2:$P50000&gt;0,((Schedule!$U$2:$U50000=$B$2)+(Schedule!$U$2:$U50000=$C$2))))),""))</f>
        <v/>
      </c>
    </row>
    <row r="50">
      <c r="B50">
        <f>IF($A50="","",SUMIFS(Schedule!$P:$P,Schedule!$G:$G,$A50,Schedule!$U:$U,$B$2)+SUMIFS('TL Schedule'!$J:$J,'TL Schedule'!$C:$C,$A50,'TL Schedule'!$K:$K,$B$2))</f>
        <v/>
      </c>
      <c r="C50">
        <f>IF($A50="","",SUMIFS(Schedule!$P:$P,Schedule!$G:$G,$A50,Schedule!$U:$U,$C$2)+SUMIFS('TL Schedule'!$J:$J,'TL Schedule'!$C:$C,$A50,'TL Schedule'!$K:$K,$C$2))</f>
        <v/>
      </c>
      <c r="D50">
        <f>IF($A50="","",B50+C50)</f>
        <v/>
      </c>
      <c r="E50">
        <f>IF($A50="","",SUMIFS(Overtime!$H:$H,Overtime!$B:$B,$A50,Overtime!$N:$N,$B$2)+SUMIFS(Overtime!$H:$H,Overtime!$B:$B,$A50,Overtime!$N:$N,$C$2))</f>
        <v/>
      </c>
      <c r="F50">
        <f>IF($A50="","",SUMIFS('Death Penalty'!$E:$E,'Death Penalty'!$B:$B,$A50,'Death Penalty'!$L:$L,$B$2)+SUMIFS('Death Penalty'!$E:$E,'Death Penalty'!$B:$B,$A50,'Death Penalty'!$L:$L,$C$2))</f>
        <v/>
      </c>
      <c r="G50">
        <f>IF($A50="","",D50+E50-F50)</f>
        <v/>
      </c>
      <c r="H50">
        <f>IF($A50="","",SUMIFS(Incentives!$H:$H,Incentives!$B:$B,$A50,Incentives!$N:$N,$B$2)+SUMIFS(Incentives!$H:$H,Incentives!$B:$B,$A50,Incentives!$N:$N,$C$2))</f>
        <v/>
      </c>
      <c r="I50">
        <f>IF($A50="","",COUNTIFS(Schedule!$G:$G,$A50,Schedule!$U:$U,$B$2,Schedule!$P:$P,"&gt;0")+COUNTIFS('TL Schedule'!$C:$C,$A50,'TL Schedule'!$K:$K,$B$2,'TL Schedule'!$J:$J,"&gt;0")+COUNTIFS(Schedule!$G:$G,$A50,Schedule!$U:$U,$C$2,Schedule!$P:$P,"&gt;0")+COUNTIFS('TL Schedule'!$C:$C,$A50,'TL Schedule'!$K:$K,$C$2,'TL Schedule'!$J:$J,"&gt;0"))</f>
        <v/>
      </c>
      <c r="J50">
        <f>IF($A50="","",IFERROR(TEXTJOIN(", ",TRUE,UNIQUE(FILTER(Schedule!$D$2:$D50000,Schedule!$G$2:$G50000=$A50,Schedule!$P$2:$P50000&gt;0,((Schedule!$U$2:$U50000=$B$2)+(Schedule!$U$2:$U50000=$C$2))))),""))</f>
        <v/>
      </c>
    </row>
    <row r="51">
      <c r="B51">
        <f>IF($A51="","",SUMIFS(Schedule!$P:$P,Schedule!$G:$G,$A51,Schedule!$U:$U,$B$2)+SUMIFS('TL Schedule'!$J:$J,'TL Schedule'!$C:$C,$A51,'TL Schedule'!$K:$K,$B$2))</f>
        <v/>
      </c>
      <c r="C51">
        <f>IF($A51="","",SUMIFS(Schedule!$P:$P,Schedule!$G:$G,$A51,Schedule!$U:$U,$C$2)+SUMIFS('TL Schedule'!$J:$J,'TL Schedule'!$C:$C,$A51,'TL Schedule'!$K:$K,$C$2))</f>
        <v/>
      </c>
      <c r="D51">
        <f>IF($A51="","",B51+C51)</f>
        <v/>
      </c>
      <c r="E51">
        <f>IF($A51="","",SUMIFS(Overtime!$H:$H,Overtime!$B:$B,$A51,Overtime!$N:$N,$B$2)+SUMIFS(Overtime!$H:$H,Overtime!$B:$B,$A51,Overtime!$N:$N,$C$2))</f>
        <v/>
      </c>
      <c r="F51">
        <f>IF($A51="","",SUMIFS('Death Penalty'!$E:$E,'Death Penalty'!$B:$B,$A51,'Death Penalty'!$L:$L,$B$2)+SUMIFS('Death Penalty'!$E:$E,'Death Penalty'!$B:$B,$A51,'Death Penalty'!$L:$L,$C$2))</f>
        <v/>
      </c>
      <c r="G51">
        <f>IF($A51="","",D51+E51-F51)</f>
        <v/>
      </c>
      <c r="H51">
        <f>IF($A51="","",SUMIFS(Incentives!$H:$H,Incentives!$B:$B,$A51,Incentives!$N:$N,$B$2)+SUMIFS(Incentives!$H:$H,Incentives!$B:$B,$A51,Incentives!$N:$N,$C$2))</f>
        <v/>
      </c>
      <c r="I51">
        <f>IF($A51="","",COUNTIFS(Schedule!$G:$G,$A51,Schedule!$U:$U,$B$2,Schedule!$P:$P,"&gt;0")+COUNTIFS('TL Schedule'!$C:$C,$A51,'TL Schedule'!$K:$K,$B$2,'TL Schedule'!$J:$J,"&gt;0")+COUNTIFS(Schedule!$G:$G,$A51,Schedule!$U:$U,$C$2,Schedule!$P:$P,"&gt;0")+COUNTIFS('TL Schedule'!$C:$C,$A51,'TL Schedule'!$K:$K,$C$2,'TL Schedule'!$J:$J,"&gt;0"))</f>
        <v/>
      </c>
      <c r="J51">
        <f>IF($A51="","",IFERROR(TEXTJOIN(", ",TRUE,UNIQUE(FILTER(Schedule!$D$2:$D50000,Schedule!$G$2:$G50000=$A51,Schedule!$P$2:$P50000&gt;0,((Schedule!$U$2:$U50000=$B$2)+(Schedule!$U$2:$U50000=$C$2))))),""))</f>
        <v/>
      </c>
    </row>
    <row r="52">
      <c r="B52">
        <f>IF($A52="","",SUMIFS(Schedule!$P:$P,Schedule!$G:$G,$A52,Schedule!$U:$U,$B$2)+SUMIFS('TL Schedule'!$J:$J,'TL Schedule'!$C:$C,$A52,'TL Schedule'!$K:$K,$B$2))</f>
        <v/>
      </c>
      <c r="C52">
        <f>IF($A52="","",SUMIFS(Schedule!$P:$P,Schedule!$G:$G,$A52,Schedule!$U:$U,$C$2)+SUMIFS('TL Schedule'!$J:$J,'TL Schedule'!$C:$C,$A52,'TL Schedule'!$K:$K,$C$2))</f>
        <v/>
      </c>
      <c r="D52">
        <f>IF($A52="","",B52+C52)</f>
        <v/>
      </c>
      <c r="E52">
        <f>IF($A52="","",SUMIFS(Overtime!$H:$H,Overtime!$B:$B,$A52,Overtime!$N:$N,$B$2)+SUMIFS(Overtime!$H:$H,Overtime!$B:$B,$A52,Overtime!$N:$N,$C$2))</f>
        <v/>
      </c>
      <c r="F52">
        <f>IF($A52="","",SUMIFS('Death Penalty'!$E:$E,'Death Penalty'!$B:$B,$A52,'Death Penalty'!$L:$L,$B$2)+SUMIFS('Death Penalty'!$E:$E,'Death Penalty'!$B:$B,$A52,'Death Penalty'!$L:$L,$C$2))</f>
        <v/>
      </c>
      <c r="G52">
        <f>IF($A52="","",D52+E52-F52)</f>
        <v/>
      </c>
      <c r="H52">
        <f>IF($A52="","",SUMIFS(Incentives!$H:$H,Incentives!$B:$B,$A52,Incentives!$N:$N,$B$2)+SUMIFS(Incentives!$H:$H,Incentives!$B:$B,$A52,Incentives!$N:$N,$C$2))</f>
        <v/>
      </c>
      <c r="I52">
        <f>IF($A52="","",COUNTIFS(Schedule!$G:$G,$A52,Schedule!$U:$U,$B$2,Schedule!$P:$P,"&gt;0")+COUNTIFS('TL Schedule'!$C:$C,$A52,'TL Schedule'!$K:$K,$B$2,'TL Schedule'!$J:$J,"&gt;0")+COUNTIFS(Schedule!$G:$G,$A52,Schedule!$U:$U,$C$2,Schedule!$P:$P,"&gt;0")+COUNTIFS('TL Schedule'!$C:$C,$A52,'TL Schedule'!$K:$K,$C$2,'TL Schedule'!$J:$J,"&gt;0"))</f>
        <v/>
      </c>
      <c r="J52">
        <f>IF($A52="","",IFERROR(TEXTJOIN(", ",TRUE,UNIQUE(FILTER(Schedule!$D$2:$D50000,Schedule!$G$2:$G50000=$A52,Schedule!$P$2:$P50000&gt;0,((Schedule!$U$2:$U50000=$B$2)+(Schedule!$U$2:$U50000=$C$2))))),""))</f>
        <v/>
      </c>
    </row>
    <row r="53">
      <c r="B53">
        <f>IF($A53="","",SUMIFS(Schedule!$P:$P,Schedule!$G:$G,$A53,Schedule!$U:$U,$B$2)+SUMIFS('TL Schedule'!$J:$J,'TL Schedule'!$C:$C,$A53,'TL Schedule'!$K:$K,$B$2))</f>
        <v/>
      </c>
      <c r="C53">
        <f>IF($A53="","",SUMIFS(Schedule!$P:$P,Schedule!$G:$G,$A53,Schedule!$U:$U,$C$2)+SUMIFS('TL Schedule'!$J:$J,'TL Schedule'!$C:$C,$A53,'TL Schedule'!$K:$K,$C$2))</f>
        <v/>
      </c>
      <c r="D53">
        <f>IF($A53="","",B53+C53)</f>
        <v/>
      </c>
      <c r="E53">
        <f>IF($A53="","",SUMIFS(Overtime!$H:$H,Overtime!$B:$B,$A53,Overtime!$N:$N,$B$2)+SUMIFS(Overtime!$H:$H,Overtime!$B:$B,$A53,Overtime!$N:$N,$C$2))</f>
        <v/>
      </c>
      <c r="F53">
        <f>IF($A53="","",SUMIFS('Death Penalty'!$E:$E,'Death Penalty'!$B:$B,$A53,'Death Penalty'!$L:$L,$B$2)+SUMIFS('Death Penalty'!$E:$E,'Death Penalty'!$B:$B,$A53,'Death Penalty'!$L:$L,$C$2))</f>
        <v/>
      </c>
      <c r="G53">
        <f>IF($A53="","",D53+E53-F53)</f>
        <v/>
      </c>
      <c r="H53">
        <f>IF($A53="","",SUMIFS(Incentives!$H:$H,Incentives!$B:$B,$A53,Incentives!$N:$N,$B$2)+SUMIFS(Incentives!$H:$H,Incentives!$B:$B,$A53,Incentives!$N:$N,$C$2))</f>
        <v/>
      </c>
      <c r="I53">
        <f>IF($A53="","",COUNTIFS(Schedule!$G:$G,$A53,Schedule!$U:$U,$B$2,Schedule!$P:$P,"&gt;0")+COUNTIFS('TL Schedule'!$C:$C,$A53,'TL Schedule'!$K:$K,$B$2,'TL Schedule'!$J:$J,"&gt;0")+COUNTIFS(Schedule!$G:$G,$A53,Schedule!$U:$U,$C$2,Schedule!$P:$P,"&gt;0")+COUNTIFS('TL Schedule'!$C:$C,$A53,'TL Schedule'!$K:$K,$C$2,'TL Schedule'!$J:$J,"&gt;0"))</f>
        <v/>
      </c>
      <c r="J53">
        <f>IF($A53="","",IFERROR(TEXTJOIN(", ",TRUE,UNIQUE(FILTER(Schedule!$D$2:$D50000,Schedule!$G$2:$G50000=$A53,Schedule!$P$2:$P50000&gt;0,((Schedule!$U$2:$U50000=$B$2)+(Schedule!$U$2:$U50000=$C$2))))),""))</f>
        <v/>
      </c>
    </row>
    <row r="54">
      <c r="B54">
        <f>IF($A54="","",SUMIFS(Schedule!$P:$P,Schedule!$G:$G,$A54,Schedule!$U:$U,$B$2)+SUMIFS('TL Schedule'!$J:$J,'TL Schedule'!$C:$C,$A54,'TL Schedule'!$K:$K,$B$2))</f>
        <v/>
      </c>
      <c r="C54">
        <f>IF($A54="","",SUMIFS(Schedule!$P:$P,Schedule!$G:$G,$A54,Schedule!$U:$U,$C$2)+SUMIFS('TL Schedule'!$J:$J,'TL Schedule'!$C:$C,$A54,'TL Schedule'!$K:$K,$C$2))</f>
        <v/>
      </c>
      <c r="D54">
        <f>IF($A54="","",B54+C54)</f>
        <v/>
      </c>
      <c r="E54">
        <f>IF($A54="","",SUMIFS(Overtime!$H:$H,Overtime!$B:$B,$A54,Overtime!$N:$N,$B$2)+SUMIFS(Overtime!$H:$H,Overtime!$B:$B,$A54,Overtime!$N:$N,$C$2))</f>
        <v/>
      </c>
      <c r="F54">
        <f>IF($A54="","",SUMIFS('Death Penalty'!$E:$E,'Death Penalty'!$B:$B,$A54,'Death Penalty'!$L:$L,$B$2)+SUMIFS('Death Penalty'!$E:$E,'Death Penalty'!$B:$B,$A54,'Death Penalty'!$L:$L,$C$2))</f>
        <v/>
      </c>
      <c r="G54">
        <f>IF($A54="","",D54+E54-F54)</f>
        <v/>
      </c>
      <c r="H54">
        <f>IF($A54="","",SUMIFS(Incentives!$H:$H,Incentives!$B:$B,$A54,Incentives!$N:$N,$B$2)+SUMIFS(Incentives!$H:$H,Incentives!$B:$B,$A54,Incentives!$N:$N,$C$2))</f>
        <v/>
      </c>
      <c r="I54">
        <f>IF($A54="","",COUNTIFS(Schedule!$G:$G,$A54,Schedule!$U:$U,$B$2,Schedule!$P:$P,"&gt;0")+COUNTIFS('TL Schedule'!$C:$C,$A54,'TL Schedule'!$K:$K,$B$2,'TL Schedule'!$J:$J,"&gt;0")+COUNTIFS(Schedule!$G:$G,$A54,Schedule!$U:$U,$C$2,Schedule!$P:$P,"&gt;0")+COUNTIFS('TL Schedule'!$C:$C,$A54,'TL Schedule'!$K:$K,$C$2,'TL Schedule'!$J:$J,"&gt;0"))</f>
        <v/>
      </c>
      <c r="J54">
        <f>IF($A54="","",IFERROR(TEXTJOIN(", ",TRUE,UNIQUE(FILTER(Schedule!$D$2:$D50000,Schedule!$G$2:$G50000=$A54,Schedule!$P$2:$P50000&gt;0,((Schedule!$U$2:$U50000=$B$2)+(Schedule!$U$2:$U50000=$C$2))))),""))</f>
        <v/>
      </c>
    </row>
    <row r="55">
      <c r="B55">
        <f>IF($A55="","",SUMIFS(Schedule!$P:$P,Schedule!$G:$G,$A55,Schedule!$U:$U,$B$2)+SUMIFS('TL Schedule'!$J:$J,'TL Schedule'!$C:$C,$A55,'TL Schedule'!$K:$K,$B$2))</f>
        <v/>
      </c>
      <c r="C55">
        <f>IF($A55="","",SUMIFS(Schedule!$P:$P,Schedule!$G:$G,$A55,Schedule!$U:$U,$C$2)+SUMIFS('TL Schedule'!$J:$J,'TL Schedule'!$C:$C,$A55,'TL Schedule'!$K:$K,$C$2))</f>
        <v/>
      </c>
      <c r="D55">
        <f>IF($A55="","",B55+C55)</f>
        <v/>
      </c>
      <c r="E55">
        <f>IF($A55="","",SUMIFS(Overtime!$H:$H,Overtime!$B:$B,$A55,Overtime!$N:$N,$B$2)+SUMIFS(Overtime!$H:$H,Overtime!$B:$B,$A55,Overtime!$N:$N,$C$2))</f>
        <v/>
      </c>
      <c r="F55">
        <f>IF($A55="","",SUMIFS('Death Penalty'!$E:$E,'Death Penalty'!$B:$B,$A55,'Death Penalty'!$L:$L,$B$2)+SUMIFS('Death Penalty'!$E:$E,'Death Penalty'!$B:$B,$A55,'Death Penalty'!$L:$L,$C$2))</f>
        <v/>
      </c>
      <c r="G55">
        <f>IF($A55="","",D55+E55-F55)</f>
        <v/>
      </c>
      <c r="H55">
        <f>IF($A55="","",SUMIFS(Incentives!$H:$H,Incentives!$B:$B,$A55,Incentives!$N:$N,$B$2)+SUMIFS(Incentives!$H:$H,Incentives!$B:$B,$A55,Incentives!$N:$N,$C$2))</f>
        <v/>
      </c>
      <c r="I55">
        <f>IF($A55="","",COUNTIFS(Schedule!$G:$G,$A55,Schedule!$U:$U,$B$2,Schedule!$P:$P,"&gt;0")+COUNTIFS('TL Schedule'!$C:$C,$A55,'TL Schedule'!$K:$K,$B$2,'TL Schedule'!$J:$J,"&gt;0")+COUNTIFS(Schedule!$G:$G,$A55,Schedule!$U:$U,$C$2,Schedule!$P:$P,"&gt;0")+COUNTIFS('TL Schedule'!$C:$C,$A55,'TL Schedule'!$K:$K,$C$2,'TL Schedule'!$J:$J,"&gt;0"))</f>
        <v/>
      </c>
      <c r="J55">
        <f>IF($A55="","",IFERROR(TEXTJOIN(", ",TRUE,UNIQUE(FILTER(Schedule!$D$2:$D50000,Schedule!$G$2:$G50000=$A55,Schedule!$P$2:$P50000&gt;0,((Schedule!$U$2:$U50000=$B$2)+(Schedule!$U$2:$U50000=$C$2))))),""))</f>
        <v/>
      </c>
    </row>
    <row r="56">
      <c r="B56">
        <f>IF($A56="","",SUMIFS(Schedule!$P:$P,Schedule!$G:$G,$A56,Schedule!$U:$U,$B$2)+SUMIFS('TL Schedule'!$J:$J,'TL Schedule'!$C:$C,$A56,'TL Schedule'!$K:$K,$B$2))</f>
        <v/>
      </c>
      <c r="C56">
        <f>IF($A56="","",SUMIFS(Schedule!$P:$P,Schedule!$G:$G,$A56,Schedule!$U:$U,$C$2)+SUMIFS('TL Schedule'!$J:$J,'TL Schedule'!$C:$C,$A56,'TL Schedule'!$K:$K,$C$2))</f>
        <v/>
      </c>
      <c r="D56">
        <f>IF($A56="","",B56+C56)</f>
        <v/>
      </c>
      <c r="E56">
        <f>IF($A56="","",SUMIFS(Overtime!$H:$H,Overtime!$B:$B,$A56,Overtime!$N:$N,$B$2)+SUMIFS(Overtime!$H:$H,Overtime!$B:$B,$A56,Overtime!$N:$N,$C$2))</f>
        <v/>
      </c>
      <c r="F56">
        <f>IF($A56="","",SUMIFS('Death Penalty'!$E:$E,'Death Penalty'!$B:$B,$A56,'Death Penalty'!$L:$L,$B$2)+SUMIFS('Death Penalty'!$E:$E,'Death Penalty'!$B:$B,$A56,'Death Penalty'!$L:$L,$C$2))</f>
        <v/>
      </c>
      <c r="G56">
        <f>IF($A56="","",D56+E56-F56)</f>
        <v/>
      </c>
      <c r="H56">
        <f>IF($A56="","",SUMIFS(Incentives!$H:$H,Incentives!$B:$B,$A56,Incentives!$N:$N,$B$2)+SUMIFS(Incentives!$H:$H,Incentives!$B:$B,$A56,Incentives!$N:$N,$C$2))</f>
        <v/>
      </c>
      <c r="I56">
        <f>IF($A56="","",COUNTIFS(Schedule!$G:$G,$A56,Schedule!$U:$U,$B$2,Schedule!$P:$P,"&gt;0")+COUNTIFS('TL Schedule'!$C:$C,$A56,'TL Schedule'!$K:$K,$B$2,'TL Schedule'!$J:$J,"&gt;0")+COUNTIFS(Schedule!$G:$G,$A56,Schedule!$U:$U,$C$2,Schedule!$P:$P,"&gt;0")+COUNTIFS('TL Schedule'!$C:$C,$A56,'TL Schedule'!$K:$K,$C$2,'TL Schedule'!$J:$J,"&gt;0"))</f>
        <v/>
      </c>
      <c r="J56">
        <f>IF($A56="","",IFERROR(TEXTJOIN(", ",TRUE,UNIQUE(FILTER(Schedule!$D$2:$D50000,Schedule!$G$2:$G50000=$A56,Schedule!$P$2:$P50000&gt;0,((Schedule!$U$2:$U50000=$B$2)+(Schedule!$U$2:$U50000=$C$2))))),""))</f>
        <v/>
      </c>
    </row>
    <row r="57">
      <c r="B57">
        <f>IF($A57="","",SUMIFS(Schedule!$P:$P,Schedule!$G:$G,$A57,Schedule!$U:$U,$B$2)+SUMIFS('TL Schedule'!$J:$J,'TL Schedule'!$C:$C,$A57,'TL Schedule'!$K:$K,$B$2))</f>
        <v/>
      </c>
      <c r="C57">
        <f>IF($A57="","",SUMIFS(Schedule!$P:$P,Schedule!$G:$G,$A57,Schedule!$U:$U,$C$2)+SUMIFS('TL Schedule'!$J:$J,'TL Schedule'!$C:$C,$A57,'TL Schedule'!$K:$K,$C$2))</f>
        <v/>
      </c>
      <c r="D57">
        <f>IF($A57="","",B57+C57)</f>
        <v/>
      </c>
      <c r="E57">
        <f>IF($A57="","",SUMIFS(Overtime!$H:$H,Overtime!$B:$B,$A57,Overtime!$N:$N,$B$2)+SUMIFS(Overtime!$H:$H,Overtime!$B:$B,$A57,Overtime!$N:$N,$C$2))</f>
        <v/>
      </c>
      <c r="F57">
        <f>IF($A57="","",SUMIFS('Death Penalty'!$E:$E,'Death Penalty'!$B:$B,$A57,'Death Penalty'!$L:$L,$B$2)+SUMIFS('Death Penalty'!$E:$E,'Death Penalty'!$B:$B,$A57,'Death Penalty'!$L:$L,$C$2))</f>
        <v/>
      </c>
      <c r="G57">
        <f>IF($A57="","",D57+E57-F57)</f>
        <v/>
      </c>
      <c r="H57">
        <f>IF($A57="","",SUMIFS(Incentives!$H:$H,Incentives!$B:$B,$A57,Incentives!$N:$N,$B$2)+SUMIFS(Incentives!$H:$H,Incentives!$B:$B,$A57,Incentives!$N:$N,$C$2))</f>
        <v/>
      </c>
      <c r="I57">
        <f>IF($A57="","",COUNTIFS(Schedule!$G:$G,$A57,Schedule!$U:$U,$B$2,Schedule!$P:$P,"&gt;0")+COUNTIFS('TL Schedule'!$C:$C,$A57,'TL Schedule'!$K:$K,$B$2,'TL Schedule'!$J:$J,"&gt;0")+COUNTIFS(Schedule!$G:$G,$A57,Schedule!$U:$U,$C$2,Schedule!$P:$P,"&gt;0")+COUNTIFS('TL Schedule'!$C:$C,$A57,'TL Schedule'!$K:$K,$C$2,'TL Schedule'!$J:$J,"&gt;0"))</f>
        <v/>
      </c>
      <c r="J57">
        <f>IF($A57="","",IFERROR(TEXTJOIN(", ",TRUE,UNIQUE(FILTER(Schedule!$D$2:$D50000,Schedule!$G$2:$G50000=$A57,Schedule!$P$2:$P50000&gt;0,((Schedule!$U$2:$U50000=$B$2)+(Schedule!$U$2:$U50000=$C$2))))),""))</f>
        <v/>
      </c>
    </row>
    <row r="58">
      <c r="B58">
        <f>IF($A58="","",SUMIFS(Schedule!$P:$P,Schedule!$G:$G,$A58,Schedule!$U:$U,$B$2)+SUMIFS('TL Schedule'!$J:$J,'TL Schedule'!$C:$C,$A58,'TL Schedule'!$K:$K,$B$2))</f>
        <v/>
      </c>
      <c r="C58">
        <f>IF($A58="","",SUMIFS(Schedule!$P:$P,Schedule!$G:$G,$A58,Schedule!$U:$U,$C$2)+SUMIFS('TL Schedule'!$J:$J,'TL Schedule'!$C:$C,$A58,'TL Schedule'!$K:$K,$C$2))</f>
        <v/>
      </c>
      <c r="D58">
        <f>IF($A58="","",B58+C58)</f>
        <v/>
      </c>
      <c r="E58">
        <f>IF($A58="","",SUMIFS(Overtime!$H:$H,Overtime!$B:$B,$A58,Overtime!$N:$N,$B$2)+SUMIFS(Overtime!$H:$H,Overtime!$B:$B,$A58,Overtime!$N:$N,$C$2))</f>
        <v/>
      </c>
      <c r="F58">
        <f>IF($A58="","",SUMIFS('Death Penalty'!$E:$E,'Death Penalty'!$B:$B,$A58,'Death Penalty'!$L:$L,$B$2)+SUMIFS('Death Penalty'!$E:$E,'Death Penalty'!$B:$B,$A58,'Death Penalty'!$L:$L,$C$2))</f>
        <v/>
      </c>
      <c r="G58">
        <f>IF($A58="","",D58+E58-F58)</f>
        <v/>
      </c>
      <c r="H58">
        <f>IF($A58="","",SUMIFS(Incentives!$H:$H,Incentives!$B:$B,$A58,Incentives!$N:$N,$B$2)+SUMIFS(Incentives!$H:$H,Incentives!$B:$B,$A58,Incentives!$N:$N,$C$2))</f>
        <v/>
      </c>
      <c r="I58">
        <f>IF($A58="","",COUNTIFS(Schedule!$G:$G,$A58,Schedule!$U:$U,$B$2,Schedule!$P:$P,"&gt;0")+COUNTIFS('TL Schedule'!$C:$C,$A58,'TL Schedule'!$K:$K,$B$2,'TL Schedule'!$J:$J,"&gt;0")+COUNTIFS(Schedule!$G:$G,$A58,Schedule!$U:$U,$C$2,Schedule!$P:$P,"&gt;0")+COUNTIFS('TL Schedule'!$C:$C,$A58,'TL Schedule'!$K:$K,$C$2,'TL Schedule'!$J:$J,"&gt;0"))</f>
        <v/>
      </c>
      <c r="J58">
        <f>IF($A58="","",IFERROR(TEXTJOIN(", ",TRUE,UNIQUE(FILTER(Schedule!$D$2:$D50000,Schedule!$G$2:$G50000=$A58,Schedule!$P$2:$P50000&gt;0,((Schedule!$U$2:$U50000=$B$2)+(Schedule!$U$2:$U50000=$C$2))))),""))</f>
        <v/>
      </c>
    </row>
    <row r="59">
      <c r="B59">
        <f>IF($A59="","",SUMIFS(Schedule!$P:$P,Schedule!$G:$G,$A59,Schedule!$U:$U,$B$2)+SUMIFS('TL Schedule'!$J:$J,'TL Schedule'!$C:$C,$A59,'TL Schedule'!$K:$K,$B$2))</f>
        <v/>
      </c>
      <c r="C59">
        <f>IF($A59="","",SUMIFS(Schedule!$P:$P,Schedule!$G:$G,$A59,Schedule!$U:$U,$C$2)+SUMIFS('TL Schedule'!$J:$J,'TL Schedule'!$C:$C,$A59,'TL Schedule'!$K:$K,$C$2))</f>
        <v/>
      </c>
      <c r="D59">
        <f>IF($A59="","",B59+C59)</f>
        <v/>
      </c>
      <c r="E59">
        <f>IF($A59="","",SUMIFS(Overtime!$H:$H,Overtime!$B:$B,$A59,Overtime!$N:$N,$B$2)+SUMIFS(Overtime!$H:$H,Overtime!$B:$B,$A59,Overtime!$N:$N,$C$2))</f>
        <v/>
      </c>
      <c r="F59">
        <f>IF($A59="","",SUMIFS('Death Penalty'!$E:$E,'Death Penalty'!$B:$B,$A59,'Death Penalty'!$L:$L,$B$2)+SUMIFS('Death Penalty'!$E:$E,'Death Penalty'!$B:$B,$A59,'Death Penalty'!$L:$L,$C$2))</f>
        <v/>
      </c>
      <c r="G59">
        <f>IF($A59="","",D59+E59-F59)</f>
        <v/>
      </c>
      <c r="H59">
        <f>IF($A59="","",SUMIFS(Incentives!$H:$H,Incentives!$B:$B,$A59,Incentives!$N:$N,$B$2)+SUMIFS(Incentives!$H:$H,Incentives!$B:$B,$A59,Incentives!$N:$N,$C$2))</f>
        <v/>
      </c>
      <c r="I59">
        <f>IF($A59="","",COUNTIFS(Schedule!$G:$G,$A59,Schedule!$U:$U,$B$2,Schedule!$P:$P,"&gt;0")+COUNTIFS('TL Schedule'!$C:$C,$A59,'TL Schedule'!$K:$K,$B$2,'TL Schedule'!$J:$J,"&gt;0")+COUNTIFS(Schedule!$G:$G,$A59,Schedule!$U:$U,$C$2,Schedule!$P:$P,"&gt;0")+COUNTIFS('TL Schedule'!$C:$C,$A59,'TL Schedule'!$K:$K,$C$2,'TL Schedule'!$J:$J,"&gt;0"))</f>
        <v/>
      </c>
      <c r="J59">
        <f>IF($A59="","",IFERROR(TEXTJOIN(", ",TRUE,UNIQUE(FILTER(Schedule!$D$2:$D50000,Schedule!$G$2:$G50000=$A59,Schedule!$P$2:$P50000&gt;0,((Schedule!$U$2:$U50000=$B$2)+(Schedule!$U$2:$U50000=$C$2))))),""))</f>
        <v/>
      </c>
    </row>
    <row r="60">
      <c r="B60">
        <f>IF($A60="","",SUMIFS(Schedule!$P:$P,Schedule!$G:$G,$A60,Schedule!$U:$U,$B$2)+SUMIFS('TL Schedule'!$J:$J,'TL Schedule'!$C:$C,$A60,'TL Schedule'!$K:$K,$B$2))</f>
        <v/>
      </c>
      <c r="C60">
        <f>IF($A60="","",SUMIFS(Schedule!$P:$P,Schedule!$G:$G,$A60,Schedule!$U:$U,$C$2)+SUMIFS('TL Schedule'!$J:$J,'TL Schedule'!$C:$C,$A60,'TL Schedule'!$K:$K,$C$2))</f>
        <v/>
      </c>
      <c r="D60">
        <f>IF($A60="","",B60+C60)</f>
        <v/>
      </c>
      <c r="E60">
        <f>IF($A60="","",SUMIFS(Overtime!$H:$H,Overtime!$B:$B,$A60,Overtime!$N:$N,$B$2)+SUMIFS(Overtime!$H:$H,Overtime!$B:$B,$A60,Overtime!$N:$N,$C$2))</f>
        <v/>
      </c>
      <c r="F60">
        <f>IF($A60="","",SUMIFS('Death Penalty'!$E:$E,'Death Penalty'!$B:$B,$A60,'Death Penalty'!$L:$L,$B$2)+SUMIFS('Death Penalty'!$E:$E,'Death Penalty'!$B:$B,$A60,'Death Penalty'!$L:$L,$C$2))</f>
        <v/>
      </c>
      <c r="G60">
        <f>IF($A60="","",D60+E60-F60)</f>
        <v/>
      </c>
      <c r="H60">
        <f>IF($A60="","",SUMIFS(Incentives!$H:$H,Incentives!$B:$B,$A60,Incentives!$N:$N,$B$2)+SUMIFS(Incentives!$H:$H,Incentives!$B:$B,$A60,Incentives!$N:$N,$C$2))</f>
        <v/>
      </c>
      <c r="I60">
        <f>IF($A60="","",COUNTIFS(Schedule!$G:$G,$A60,Schedule!$U:$U,$B$2,Schedule!$P:$P,"&gt;0")+COUNTIFS('TL Schedule'!$C:$C,$A60,'TL Schedule'!$K:$K,$B$2,'TL Schedule'!$J:$J,"&gt;0")+COUNTIFS(Schedule!$G:$G,$A60,Schedule!$U:$U,$C$2,Schedule!$P:$P,"&gt;0")+COUNTIFS('TL Schedule'!$C:$C,$A60,'TL Schedule'!$K:$K,$C$2,'TL Schedule'!$J:$J,"&gt;0"))</f>
        <v/>
      </c>
      <c r="J60">
        <f>IF($A60="","",IFERROR(TEXTJOIN(", ",TRUE,UNIQUE(FILTER(Schedule!$D$2:$D50000,Schedule!$G$2:$G50000=$A60,Schedule!$P$2:$P50000&gt;0,((Schedule!$U$2:$U50000=$B$2)+(Schedule!$U$2:$U50000=$C$2))))),""))</f>
        <v/>
      </c>
    </row>
    <row r="61">
      <c r="B61">
        <f>IF($A61="","",SUMIFS(Schedule!$P:$P,Schedule!$G:$G,$A61,Schedule!$U:$U,$B$2)+SUMIFS('TL Schedule'!$J:$J,'TL Schedule'!$C:$C,$A61,'TL Schedule'!$K:$K,$B$2))</f>
        <v/>
      </c>
      <c r="C61">
        <f>IF($A61="","",SUMIFS(Schedule!$P:$P,Schedule!$G:$G,$A61,Schedule!$U:$U,$C$2)+SUMIFS('TL Schedule'!$J:$J,'TL Schedule'!$C:$C,$A61,'TL Schedule'!$K:$K,$C$2))</f>
        <v/>
      </c>
      <c r="D61">
        <f>IF($A61="","",B61+C61)</f>
        <v/>
      </c>
      <c r="E61">
        <f>IF($A61="","",SUMIFS(Overtime!$H:$H,Overtime!$B:$B,$A61,Overtime!$N:$N,$B$2)+SUMIFS(Overtime!$H:$H,Overtime!$B:$B,$A61,Overtime!$N:$N,$C$2))</f>
        <v/>
      </c>
      <c r="F61">
        <f>IF($A61="","",SUMIFS('Death Penalty'!$E:$E,'Death Penalty'!$B:$B,$A61,'Death Penalty'!$L:$L,$B$2)+SUMIFS('Death Penalty'!$E:$E,'Death Penalty'!$B:$B,$A61,'Death Penalty'!$L:$L,$C$2))</f>
        <v/>
      </c>
      <c r="G61">
        <f>IF($A61="","",D61+E61-F61)</f>
        <v/>
      </c>
      <c r="H61">
        <f>IF($A61="","",SUMIFS(Incentives!$H:$H,Incentives!$B:$B,$A61,Incentives!$N:$N,$B$2)+SUMIFS(Incentives!$H:$H,Incentives!$B:$B,$A61,Incentives!$N:$N,$C$2))</f>
        <v/>
      </c>
      <c r="I61">
        <f>IF($A61="","",COUNTIFS(Schedule!$G:$G,$A61,Schedule!$U:$U,$B$2,Schedule!$P:$P,"&gt;0")+COUNTIFS('TL Schedule'!$C:$C,$A61,'TL Schedule'!$K:$K,$B$2,'TL Schedule'!$J:$J,"&gt;0")+COUNTIFS(Schedule!$G:$G,$A61,Schedule!$U:$U,$C$2,Schedule!$P:$P,"&gt;0")+COUNTIFS('TL Schedule'!$C:$C,$A61,'TL Schedule'!$K:$K,$C$2,'TL Schedule'!$J:$J,"&gt;0"))</f>
        <v/>
      </c>
      <c r="J61">
        <f>IF($A61="","",IFERROR(TEXTJOIN(", ",TRUE,UNIQUE(FILTER(Schedule!$D$2:$D50000,Schedule!$G$2:$G50000=$A61,Schedule!$P$2:$P50000&gt;0,((Schedule!$U$2:$U50000=$B$2)+(Schedule!$U$2:$U50000=$C$2))))),""))</f>
        <v/>
      </c>
    </row>
    <row r="62">
      <c r="B62">
        <f>IF($A62="","",SUMIFS(Schedule!$P:$P,Schedule!$G:$G,$A62,Schedule!$U:$U,$B$2)+SUMIFS('TL Schedule'!$J:$J,'TL Schedule'!$C:$C,$A62,'TL Schedule'!$K:$K,$B$2))</f>
        <v/>
      </c>
      <c r="C62">
        <f>IF($A62="","",SUMIFS(Schedule!$P:$P,Schedule!$G:$G,$A62,Schedule!$U:$U,$C$2)+SUMIFS('TL Schedule'!$J:$J,'TL Schedule'!$C:$C,$A62,'TL Schedule'!$K:$K,$C$2))</f>
        <v/>
      </c>
      <c r="D62">
        <f>IF($A62="","",B62+C62)</f>
        <v/>
      </c>
      <c r="E62">
        <f>IF($A62="","",SUMIFS(Overtime!$H:$H,Overtime!$B:$B,$A62,Overtime!$N:$N,$B$2)+SUMIFS(Overtime!$H:$H,Overtime!$B:$B,$A62,Overtime!$N:$N,$C$2))</f>
        <v/>
      </c>
      <c r="F62">
        <f>IF($A62="","",SUMIFS('Death Penalty'!$E:$E,'Death Penalty'!$B:$B,$A62,'Death Penalty'!$L:$L,$B$2)+SUMIFS('Death Penalty'!$E:$E,'Death Penalty'!$B:$B,$A62,'Death Penalty'!$L:$L,$C$2))</f>
        <v/>
      </c>
      <c r="G62">
        <f>IF($A62="","",D62+E62-F62)</f>
        <v/>
      </c>
      <c r="H62">
        <f>IF($A62="","",SUMIFS(Incentives!$H:$H,Incentives!$B:$B,$A62,Incentives!$N:$N,$B$2)+SUMIFS(Incentives!$H:$H,Incentives!$B:$B,$A62,Incentives!$N:$N,$C$2))</f>
        <v/>
      </c>
      <c r="I62">
        <f>IF($A62="","",COUNTIFS(Schedule!$G:$G,$A62,Schedule!$U:$U,$B$2,Schedule!$P:$P,"&gt;0")+COUNTIFS('TL Schedule'!$C:$C,$A62,'TL Schedule'!$K:$K,$B$2,'TL Schedule'!$J:$J,"&gt;0")+COUNTIFS(Schedule!$G:$G,$A62,Schedule!$U:$U,$C$2,Schedule!$P:$P,"&gt;0")+COUNTIFS('TL Schedule'!$C:$C,$A62,'TL Schedule'!$K:$K,$C$2,'TL Schedule'!$J:$J,"&gt;0"))</f>
        <v/>
      </c>
      <c r="J62">
        <f>IF($A62="","",IFERROR(TEXTJOIN(", ",TRUE,UNIQUE(FILTER(Schedule!$D$2:$D50000,Schedule!$G$2:$G50000=$A62,Schedule!$P$2:$P50000&gt;0,((Schedule!$U$2:$U50000=$B$2)+(Schedule!$U$2:$U50000=$C$2))))),""))</f>
        <v/>
      </c>
    </row>
    <row r="63">
      <c r="B63">
        <f>IF($A63="","",SUMIFS(Schedule!$P:$P,Schedule!$G:$G,$A63,Schedule!$U:$U,$B$2)+SUMIFS('TL Schedule'!$J:$J,'TL Schedule'!$C:$C,$A63,'TL Schedule'!$K:$K,$B$2))</f>
        <v/>
      </c>
      <c r="C63">
        <f>IF($A63="","",SUMIFS(Schedule!$P:$P,Schedule!$G:$G,$A63,Schedule!$U:$U,$C$2)+SUMIFS('TL Schedule'!$J:$J,'TL Schedule'!$C:$C,$A63,'TL Schedule'!$K:$K,$C$2))</f>
        <v/>
      </c>
      <c r="D63">
        <f>IF($A63="","",B63+C63)</f>
        <v/>
      </c>
      <c r="E63">
        <f>IF($A63="","",SUMIFS(Overtime!$H:$H,Overtime!$B:$B,$A63,Overtime!$N:$N,$B$2)+SUMIFS(Overtime!$H:$H,Overtime!$B:$B,$A63,Overtime!$N:$N,$C$2))</f>
        <v/>
      </c>
      <c r="F63">
        <f>IF($A63="","",SUMIFS('Death Penalty'!$E:$E,'Death Penalty'!$B:$B,$A63,'Death Penalty'!$L:$L,$B$2)+SUMIFS('Death Penalty'!$E:$E,'Death Penalty'!$B:$B,$A63,'Death Penalty'!$L:$L,$C$2))</f>
        <v/>
      </c>
      <c r="G63">
        <f>IF($A63="","",D63+E63-F63)</f>
        <v/>
      </c>
      <c r="H63">
        <f>IF($A63="","",SUMIFS(Incentives!$H:$H,Incentives!$B:$B,$A63,Incentives!$N:$N,$B$2)+SUMIFS(Incentives!$H:$H,Incentives!$B:$B,$A63,Incentives!$N:$N,$C$2))</f>
        <v/>
      </c>
      <c r="I63">
        <f>IF($A63="","",COUNTIFS(Schedule!$G:$G,$A63,Schedule!$U:$U,$B$2,Schedule!$P:$P,"&gt;0")+COUNTIFS('TL Schedule'!$C:$C,$A63,'TL Schedule'!$K:$K,$B$2,'TL Schedule'!$J:$J,"&gt;0")+COUNTIFS(Schedule!$G:$G,$A63,Schedule!$U:$U,$C$2,Schedule!$P:$P,"&gt;0")+COUNTIFS('TL Schedule'!$C:$C,$A63,'TL Schedule'!$K:$K,$C$2,'TL Schedule'!$J:$J,"&gt;0"))</f>
        <v/>
      </c>
      <c r="J63">
        <f>IF($A63="","",IFERROR(TEXTJOIN(", ",TRUE,UNIQUE(FILTER(Schedule!$D$2:$D50000,Schedule!$G$2:$G50000=$A63,Schedule!$P$2:$P50000&gt;0,((Schedule!$U$2:$U50000=$B$2)+(Schedule!$U$2:$U50000=$C$2))))),""))</f>
        <v/>
      </c>
    </row>
    <row r="64">
      <c r="B64">
        <f>IF($A64="","",SUMIFS(Schedule!$P:$P,Schedule!$G:$G,$A64,Schedule!$U:$U,$B$2)+SUMIFS('TL Schedule'!$J:$J,'TL Schedule'!$C:$C,$A64,'TL Schedule'!$K:$K,$B$2))</f>
        <v/>
      </c>
      <c r="C64">
        <f>IF($A64="","",SUMIFS(Schedule!$P:$P,Schedule!$G:$G,$A64,Schedule!$U:$U,$C$2)+SUMIFS('TL Schedule'!$J:$J,'TL Schedule'!$C:$C,$A64,'TL Schedule'!$K:$K,$C$2))</f>
        <v/>
      </c>
      <c r="D64">
        <f>IF($A64="","",B64+C64)</f>
        <v/>
      </c>
      <c r="E64">
        <f>IF($A64="","",SUMIFS(Overtime!$H:$H,Overtime!$B:$B,$A64,Overtime!$N:$N,$B$2)+SUMIFS(Overtime!$H:$H,Overtime!$B:$B,$A64,Overtime!$N:$N,$C$2))</f>
        <v/>
      </c>
      <c r="F64">
        <f>IF($A64="","",SUMIFS('Death Penalty'!$E:$E,'Death Penalty'!$B:$B,$A64,'Death Penalty'!$L:$L,$B$2)+SUMIFS('Death Penalty'!$E:$E,'Death Penalty'!$B:$B,$A64,'Death Penalty'!$L:$L,$C$2))</f>
        <v/>
      </c>
      <c r="G64">
        <f>IF($A64="","",D64+E64-F64)</f>
        <v/>
      </c>
      <c r="H64">
        <f>IF($A64="","",SUMIFS(Incentives!$H:$H,Incentives!$B:$B,$A64,Incentives!$N:$N,$B$2)+SUMIFS(Incentives!$H:$H,Incentives!$B:$B,$A64,Incentives!$N:$N,$C$2))</f>
        <v/>
      </c>
      <c r="I64">
        <f>IF($A64="","",COUNTIFS(Schedule!$G:$G,$A64,Schedule!$U:$U,$B$2,Schedule!$P:$P,"&gt;0")+COUNTIFS('TL Schedule'!$C:$C,$A64,'TL Schedule'!$K:$K,$B$2,'TL Schedule'!$J:$J,"&gt;0")+COUNTIFS(Schedule!$G:$G,$A64,Schedule!$U:$U,$C$2,Schedule!$P:$P,"&gt;0")+COUNTIFS('TL Schedule'!$C:$C,$A64,'TL Schedule'!$K:$K,$C$2,'TL Schedule'!$J:$J,"&gt;0"))</f>
        <v/>
      </c>
      <c r="J64">
        <f>IF($A64="","",IFERROR(TEXTJOIN(", ",TRUE,UNIQUE(FILTER(Schedule!$D$2:$D50000,Schedule!$G$2:$G50000=$A64,Schedule!$P$2:$P50000&gt;0,((Schedule!$U$2:$U50000=$B$2)+(Schedule!$U$2:$U50000=$C$2))))),""))</f>
        <v/>
      </c>
    </row>
    <row r="65">
      <c r="B65">
        <f>IF($A65="","",SUMIFS(Schedule!$P:$P,Schedule!$G:$G,$A65,Schedule!$U:$U,$B$2)+SUMIFS('TL Schedule'!$J:$J,'TL Schedule'!$C:$C,$A65,'TL Schedule'!$K:$K,$B$2))</f>
        <v/>
      </c>
      <c r="C65">
        <f>IF($A65="","",SUMIFS(Schedule!$P:$P,Schedule!$G:$G,$A65,Schedule!$U:$U,$C$2)+SUMIFS('TL Schedule'!$J:$J,'TL Schedule'!$C:$C,$A65,'TL Schedule'!$K:$K,$C$2))</f>
        <v/>
      </c>
      <c r="D65">
        <f>IF($A65="","",B65+C65)</f>
        <v/>
      </c>
      <c r="E65">
        <f>IF($A65="","",SUMIFS(Overtime!$H:$H,Overtime!$B:$B,$A65,Overtime!$N:$N,$B$2)+SUMIFS(Overtime!$H:$H,Overtime!$B:$B,$A65,Overtime!$N:$N,$C$2))</f>
        <v/>
      </c>
      <c r="F65">
        <f>IF($A65="","",SUMIFS('Death Penalty'!$E:$E,'Death Penalty'!$B:$B,$A65,'Death Penalty'!$L:$L,$B$2)+SUMIFS('Death Penalty'!$E:$E,'Death Penalty'!$B:$B,$A65,'Death Penalty'!$L:$L,$C$2))</f>
        <v/>
      </c>
      <c r="G65">
        <f>IF($A65="","",D65+E65-F65)</f>
        <v/>
      </c>
      <c r="H65">
        <f>IF($A65="","",SUMIFS(Incentives!$H:$H,Incentives!$B:$B,$A65,Incentives!$N:$N,$B$2)+SUMIFS(Incentives!$H:$H,Incentives!$B:$B,$A65,Incentives!$N:$N,$C$2))</f>
        <v/>
      </c>
      <c r="I65">
        <f>IF($A65="","",COUNTIFS(Schedule!$G:$G,$A65,Schedule!$U:$U,$B$2,Schedule!$P:$P,"&gt;0")+COUNTIFS('TL Schedule'!$C:$C,$A65,'TL Schedule'!$K:$K,$B$2,'TL Schedule'!$J:$J,"&gt;0")+COUNTIFS(Schedule!$G:$G,$A65,Schedule!$U:$U,$C$2,Schedule!$P:$P,"&gt;0")+COUNTIFS('TL Schedule'!$C:$C,$A65,'TL Schedule'!$K:$K,$C$2,'TL Schedule'!$J:$J,"&gt;0"))</f>
        <v/>
      </c>
      <c r="J65">
        <f>IF($A65="","",IFERROR(TEXTJOIN(", ",TRUE,UNIQUE(FILTER(Schedule!$D$2:$D50000,Schedule!$G$2:$G50000=$A65,Schedule!$P$2:$P50000&gt;0,((Schedule!$U$2:$U50000=$B$2)+(Schedule!$U$2:$U50000=$C$2))))),""))</f>
        <v/>
      </c>
    </row>
    <row r="66">
      <c r="B66">
        <f>IF($A66="","",SUMIFS(Schedule!$P:$P,Schedule!$G:$G,$A66,Schedule!$U:$U,$B$2)+SUMIFS('TL Schedule'!$J:$J,'TL Schedule'!$C:$C,$A66,'TL Schedule'!$K:$K,$B$2))</f>
        <v/>
      </c>
      <c r="C66">
        <f>IF($A66="","",SUMIFS(Schedule!$P:$P,Schedule!$G:$G,$A66,Schedule!$U:$U,$C$2)+SUMIFS('TL Schedule'!$J:$J,'TL Schedule'!$C:$C,$A66,'TL Schedule'!$K:$K,$C$2))</f>
        <v/>
      </c>
      <c r="D66">
        <f>IF($A66="","",B66+C66)</f>
        <v/>
      </c>
      <c r="E66">
        <f>IF($A66="","",SUMIFS(Overtime!$H:$H,Overtime!$B:$B,$A66,Overtime!$N:$N,$B$2)+SUMIFS(Overtime!$H:$H,Overtime!$B:$B,$A66,Overtime!$N:$N,$C$2))</f>
        <v/>
      </c>
      <c r="F66">
        <f>IF($A66="","",SUMIFS('Death Penalty'!$E:$E,'Death Penalty'!$B:$B,$A66,'Death Penalty'!$L:$L,$B$2)+SUMIFS('Death Penalty'!$E:$E,'Death Penalty'!$B:$B,$A66,'Death Penalty'!$L:$L,$C$2))</f>
        <v/>
      </c>
      <c r="G66">
        <f>IF($A66="","",D66+E66-F66)</f>
        <v/>
      </c>
      <c r="H66">
        <f>IF($A66="","",SUMIFS(Incentives!$H:$H,Incentives!$B:$B,$A66,Incentives!$N:$N,$B$2)+SUMIFS(Incentives!$H:$H,Incentives!$B:$B,$A66,Incentives!$N:$N,$C$2))</f>
        <v/>
      </c>
      <c r="I66">
        <f>IF($A66="","",COUNTIFS(Schedule!$G:$G,$A66,Schedule!$U:$U,$B$2,Schedule!$P:$P,"&gt;0")+COUNTIFS('TL Schedule'!$C:$C,$A66,'TL Schedule'!$K:$K,$B$2,'TL Schedule'!$J:$J,"&gt;0")+COUNTIFS(Schedule!$G:$G,$A66,Schedule!$U:$U,$C$2,Schedule!$P:$P,"&gt;0")+COUNTIFS('TL Schedule'!$C:$C,$A66,'TL Schedule'!$K:$K,$C$2,'TL Schedule'!$J:$J,"&gt;0"))</f>
        <v/>
      </c>
      <c r="J66">
        <f>IF($A66="","",IFERROR(TEXTJOIN(", ",TRUE,UNIQUE(FILTER(Schedule!$D$2:$D50000,Schedule!$G$2:$G50000=$A66,Schedule!$P$2:$P50000&gt;0,((Schedule!$U$2:$U50000=$B$2)+(Schedule!$U$2:$U50000=$C$2))))),""))</f>
        <v/>
      </c>
    </row>
    <row r="67">
      <c r="B67">
        <f>IF($A67="","",SUMIFS(Schedule!$P:$P,Schedule!$G:$G,$A67,Schedule!$U:$U,$B$2)+SUMIFS('TL Schedule'!$J:$J,'TL Schedule'!$C:$C,$A67,'TL Schedule'!$K:$K,$B$2))</f>
        <v/>
      </c>
      <c r="C67">
        <f>IF($A67="","",SUMIFS(Schedule!$P:$P,Schedule!$G:$G,$A67,Schedule!$U:$U,$C$2)+SUMIFS('TL Schedule'!$J:$J,'TL Schedule'!$C:$C,$A67,'TL Schedule'!$K:$K,$C$2))</f>
        <v/>
      </c>
      <c r="D67">
        <f>IF($A67="","",B67+C67)</f>
        <v/>
      </c>
      <c r="E67">
        <f>IF($A67="","",SUMIFS(Overtime!$H:$H,Overtime!$B:$B,$A67,Overtime!$N:$N,$B$2)+SUMIFS(Overtime!$H:$H,Overtime!$B:$B,$A67,Overtime!$N:$N,$C$2))</f>
        <v/>
      </c>
      <c r="F67">
        <f>IF($A67="","",SUMIFS('Death Penalty'!$E:$E,'Death Penalty'!$B:$B,$A67,'Death Penalty'!$L:$L,$B$2)+SUMIFS('Death Penalty'!$E:$E,'Death Penalty'!$B:$B,$A67,'Death Penalty'!$L:$L,$C$2))</f>
        <v/>
      </c>
      <c r="G67">
        <f>IF($A67="","",D67+E67-F67)</f>
        <v/>
      </c>
      <c r="H67">
        <f>IF($A67="","",SUMIFS(Incentives!$H:$H,Incentives!$B:$B,$A67,Incentives!$N:$N,$B$2)+SUMIFS(Incentives!$H:$H,Incentives!$B:$B,$A67,Incentives!$N:$N,$C$2))</f>
        <v/>
      </c>
      <c r="I67">
        <f>IF($A67="","",COUNTIFS(Schedule!$G:$G,$A67,Schedule!$U:$U,$B$2,Schedule!$P:$P,"&gt;0")+COUNTIFS('TL Schedule'!$C:$C,$A67,'TL Schedule'!$K:$K,$B$2,'TL Schedule'!$J:$J,"&gt;0")+COUNTIFS(Schedule!$G:$G,$A67,Schedule!$U:$U,$C$2,Schedule!$P:$P,"&gt;0")+COUNTIFS('TL Schedule'!$C:$C,$A67,'TL Schedule'!$K:$K,$C$2,'TL Schedule'!$J:$J,"&gt;0"))</f>
        <v/>
      </c>
      <c r="J67">
        <f>IF($A67="","",IFERROR(TEXTJOIN(", ",TRUE,UNIQUE(FILTER(Schedule!$D$2:$D50000,Schedule!$G$2:$G50000=$A67,Schedule!$P$2:$P50000&gt;0,((Schedule!$U$2:$U50000=$B$2)+(Schedule!$U$2:$U50000=$C$2))))),""))</f>
        <v/>
      </c>
    </row>
    <row r="68">
      <c r="B68">
        <f>IF($A68="","",SUMIFS(Schedule!$P:$P,Schedule!$G:$G,$A68,Schedule!$U:$U,$B$2)+SUMIFS('TL Schedule'!$J:$J,'TL Schedule'!$C:$C,$A68,'TL Schedule'!$K:$K,$B$2))</f>
        <v/>
      </c>
      <c r="C68">
        <f>IF($A68="","",SUMIFS(Schedule!$P:$P,Schedule!$G:$G,$A68,Schedule!$U:$U,$C$2)+SUMIFS('TL Schedule'!$J:$J,'TL Schedule'!$C:$C,$A68,'TL Schedule'!$K:$K,$C$2))</f>
        <v/>
      </c>
      <c r="D68">
        <f>IF($A68="","",B68+C68)</f>
        <v/>
      </c>
      <c r="E68">
        <f>IF($A68="","",SUMIFS(Overtime!$H:$H,Overtime!$B:$B,$A68,Overtime!$N:$N,$B$2)+SUMIFS(Overtime!$H:$H,Overtime!$B:$B,$A68,Overtime!$N:$N,$C$2))</f>
        <v/>
      </c>
      <c r="F68">
        <f>IF($A68="","",SUMIFS('Death Penalty'!$E:$E,'Death Penalty'!$B:$B,$A68,'Death Penalty'!$L:$L,$B$2)+SUMIFS('Death Penalty'!$E:$E,'Death Penalty'!$B:$B,$A68,'Death Penalty'!$L:$L,$C$2))</f>
        <v/>
      </c>
      <c r="G68">
        <f>IF($A68="","",D68+E68-F68)</f>
        <v/>
      </c>
      <c r="H68">
        <f>IF($A68="","",SUMIFS(Incentives!$H:$H,Incentives!$B:$B,$A68,Incentives!$N:$N,$B$2)+SUMIFS(Incentives!$H:$H,Incentives!$B:$B,$A68,Incentives!$N:$N,$C$2))</f>
        <v/>
      </c>
      <c r="I68">
        <f>IF($A68="","",COUNTIFS(Schedule!$G:$G,$A68,Schedule!$U:$U,$B$2,Schedule!$P:$P,"&gt;0")+COUNTIFS('TL Schedule'!$C:$C,$A68,'TL Schedule'!$K:$K,$B$2,'TL Schedule'!$J:$J,"&gt;0")+COUNTIFS(Schedule!$G:$G,$A68,Schedule!$U:$U,$C$2,Schedule!$P:$P,"&gt;0")+COUNTIFS('TL Schedule'!$C:$C,$A68,'TL Schedule'!$K:$K,$C$2,'TL Schedule'!$J:$J,"&gt;0"))</f>
        <v/>
      </c>
      <c r="J68">
        <f>IF($A68="","",IFERROR(TEXTJOIN(", ",TRUE,UNIQUE(FILTER(Schedule!$D$2:$D50000,Schedule!$G$2:$G50000=$A68,Schedule!$P$2:$P50000&gt;0,((Schedule!$U$2:$U50000=$B$2)+(Schedule!$U$2:$U50000=$C$2))))),""))</f>
        <v/>
      </c>
    </row>
    <row r="69">
      <c r="B69">
        <f>IF($A69="","",SUMIFS(Schedule!$P:$P,Schedule!$G:$G,$A69,Schedule!$U:$U,$B$2)+SUMIFS('TL Schedule'!$J:$J,'TL Schedule'!$C:$C,$A69,'TL Schedule'!$K:$K,$B$2))</f>
        <v/>
      </c>
      <c r="C69">
        <f>IF($A69="","",SUMIFS(Schedule!$P:$P,Schedule!$G:$G,$A69,Schedule!$U:$U,$C$2)+SUMIFS('TL Schedule'!$J:$J,'TL Schedule'!$C:$C,$A69,'TL Schedule'!$K:$K,$C$2))</f>
        <v/>
      </c>
      <c r="D69">
        <f>IF($A69="","",B69+C69)</f>
        <v/>
      </c>
      <c r="E69">
        <f>IF($A69="","",SUMIFS(Overtime!$H:$H,Overtime!$B:$B,$A69,Overtime!$N:$N,$B$2)+SUMIFS(Overtime!$H:$H,Overtime!$B:$B,$A69,Overtime!$N:$N,$C$2))</f>
        <v/>
      </c>
      <c r="F69">
        <f>IF($A69="","",SUMIFS('Death Penalty'!$E:$E,'Death Penalty'!$B:$B,$A69,'Death Penalty'!$L:$L,$B$2)+SUMIFS('Death Penalty'!$E:$E,'Death Penalty'!$B:$B,$A69,'Death Penalty'!$L:$L,$C$2))</f>
        <v/>
      </c>
      <c r="G69">
        <f>IF($A69="","",D69+E69-F69)</f>
        <v/>
      </c>
      <c r="H69">
        <f>IF($A69="","",SUMIFS(Incentives!$H:$H,Incentives!$B:$B,$A69,Incentives!$N:$N,$B$2)+SUMIFS(Incentives!$H:$H,Incentives!$B:$B,$A69,Incentives!$N:$N,$C$2))</f>
        <v/>
      </c>
      <c r="I69">
        <f>IF($A69="","",COUNTIFS(Schedule!$G:$G,$A69,Schedule!$U:$U,$B$2,Schedule!$P:$P,"&gt;0")+COUNTIFS('TL Schedule'!$C:$C,$A69,'TL Schedule'!$K:$K,$B$2,'TL Schedule'!$J:$J,"&gt;0")+COUNTIFS(Schedule!$G:$G,$A69,Schedule!$U:$U,$C$2,Schedule!$P:$P,"&gt;0")+COUNTIFS('TL Schedule'!$C:$C,$A69,'TL Schedule'!$K:$K,$C$2,'TL Schedule'!$J:$J,"&gt;0"))</f>
        <v/>
      </c>
      <c r="J69">
        <f>IF($A69="","",IFERROR(TEXTJOIN(", ",TRUE,UNIQUE(FILTER(Schedule!$D$2:$D50000,Schedule!$G$2:$G50000=$A69,Schedule!$P$2:$P50000&gt;0,((Schedule!$U$2:$U50000=$B$2)+(Schedule!$U$2:$U50000=$C$2))))),""))</f>
        <v/>
      </c>
    </row>
    <row r="70">
      <c r="B70">
        <f>IF($A70="","",SUMIFS(Schedule!$P:$P,Schedule!$G:$G,$A70,Schedule!$U:$U,$B$2)+SUMIFS('TL Schedule'!$J:$J,'TL Schedule'!$C:$C,$A70,'TL Schedule'!$K:$K,$B$2))</f>
        <v/>
      </c>
      <c r="C70">
        <f>IF($A70="","",SUMIFS(Schedule!$P:$P,Schedule!$G:$G,$A70,Schedule!$U:$U,$C$2)+SUMIFS('TL Schedule'!$J:$J,'TL Schedule'!$C:$C,$A70,'TL Schedule'!$K:$K,$C$2))</f>
        <v/>
      </c>
      <c r="D70">
        <f>IF($A70="","",B70+C70)</f>
        <v/>
      </c>
      <c r="E70">
        <f>IF($A70="","",SUMIFS(Overtime!$H:$H,Overtime!$B:$B,$A70,Overtime!$N:$N,$B$2)+SUMIFS(Overtime!$H:$H,Overtime!$B:$B,$A70,Overtime!$N:$N,$C$2))</f>
        <v/>
      </c>
      <c r="F70">
        <f>IF($A70="","",SUMIFS('Death Penalty'!$E:$E,'Death Penalty'!$B:$B,$A70,'Death Penalty'!$L:$L,$B$2)+SUMIFS('Death Penalty'!$E:$E,'Death Penalty'!$B:$B,$A70,'Death Penalty'!$L:$L,$C$2))</f>
        <v/>
      </c>
      <c r="G70">
        <f>IF($A70="","",D70+E70-F70)</f>
        <v/>
      </c>
      <c r="H70">
        <f>IF($A70="","",SUMIFS(Incentives!$H:$H,Incentives!$B:$B,$A70,Incentives!$N:$N,$B$2)+SUMIFS(Incentives!$H:$H,Incentives!$B:$B,$A70,Incentives!$N:$N,$C$2))</f>
        <v/>
      </c>
      <c r="I70">
        <f>IF($A70="","",COUNTIFS(Schedule!$G:$G,$A70,Schedule!$U:$U,$B$2,Schedule!$P:$P,"&gt;0")+COUNTIFS('TL Schedule'!$C:$C,$A70,'TL Schedule'!$K:$K,$B$2,'TL Schedule'!$J:$J,"&gt;0")+COUNTIFS(Schedule!$G:$G,$A70,Schedule!$U:$U,$C$2,Schedule!$P:$P,"&gt;0")+COUNTIFS('TL Schedule'!$C:$C,$A70,'TL Schedule'!$K:$K,$C$2,'TL Schedule'!$J:$J,"&gt;0"))</f>
        <v/>
      </c>
      <c r="J70">
        <f>IF($A70="","",IFERROR(TEXTJOIN(", ",TRUE,UNIQUE(FILTER(Schedule!$D$2:$D50000,Schedule!$G$2:$G50000=$A70,Schedule!$P$2:$P50000&gt;0,((Schedule!$U$2:$U50000=$B$2)+(Schedule!$U$2:$U50000=$C$2))))),""))</f>
        <v/>
      </c>
    </row>
    <row r="71">
      <c r="B71">
        <f>IF($A71="","",SUMIFS(Schedule!$P:$P,Schedule!$G:$G,$A71,Schedule!$U:$U,$B$2)+SUMIFS('TL Schedule'!$J:$J,'TL Schedule'!$C:$C,$A71,'TL Schedule'!$K:$K,$B$2))</f>
        <v/>
      </c>
      <c r="C71">
        <f>IF($A71="","",SUMIFS(Schedule!$P:$P,Schedule!$G:$G,$A71,Schedule!$U:$U,$C$2)+SUMIFS('TL Schedule'!$J:$J,'TL Schedule'!$C:$C,$A71,'TL Schedule'!$K:$K,$C$2))</f>
        <v/>
      </c>
      <c r="D71">
        <f>IF($A71="","",B71+C71)</f>
        <v/>
      </c>
      <c r="E71">
        <f>IF($A71="","",SUMIFS(Overtime!$H:$H,Overtime!$B:$B,$A71,Overtime!$N:$N,$B$2)+SUMIFS(Overtime!$H:$H,Overtime!$B:$B,$A71,Overtime!$N:$N,$C$2))</f>
        <v/>
      </c>
      <c r="F71">
        <f>IF($A71="","",SUMIFS('Death Penalty'!$E:$E,'Death Penalty'!$B:$B,$A71,'Death Penalty'!$L:$L,$B$2)+SUMIFS('Death Penalty'!$E:$E,'Death Penalty'!$B:$B,$A71,'Death Penalty'!$L:$L,$C$2))</f>
        <v/>
      </c>
      <c r="G71">
        <f>IF($A71="","",D71+E71-F71)</f>
        <v/>
      </c>
      <c r="H71">
        <f>IF($A71="","",SUMIFS(Incentives!$H:$H,Incentives!$B:$B,$A71,Incentives!$N:$N,$B$2)+SUMIFS(Incentives!$H:$H,Incentives!$B:$B,$A71,Incentives!$N:$N,$C$2))</f>
        <v/>
      </c>
      <c r="I71">
        <f>IF($A71="","",COUNTIFS(Schedule!$G:$G,$A71,Schedule!$U:$U,$B$2,Schedule!$P:$P,"&gt;0")+COUNTIFS('TL Schedule'!$C:$C,$A71,'TL Schedule'!$K:$K,$B$2,'TL Schedule'!$J:$J,"&gt;0")+COUNTIFS(Schedule!$G:$G,$A71,Schedule!$U:$U,$C$2,Schedule!$P:$P,"&gt;0")+COUNTIFS('TL Schedule'!$C:$C,$A71,'TL Schedule'!$K:$K,$C$2,'TL Schedule'!$J:$J,"&gt;0"))</f>
        <v/>
      </c>
      <c r="J71">
        <f>IF($A71="","",IFERROR(TEXTJOIN(", ",TRUE,UNIQUE(FILTER(Schedule!$D$2:$D50000,Schedule!$G$2:$G50000=$A71,Schedule!$P$2:$P50000&gt;0,((Schedule!$U$2:$U50000=$B$2)+(Schedule!$U$2:$U50000=$C$2))))),""))</f>
        <v/>
      </c>
    </row>
    <row r="72">
      <c r="B72">
        <f>IF($A72="","",SUMIFS(Schedule!$P:$P,Schedule!$G:$G,$A72,Schedule!$U:$U,$B$2)+SUMIFS('TL Schedule'!$J:$J,'TL Schedule'!$C:$C,$A72,'TL Schedule'!$K:$K,$B$2))</f>
        <v/>
      </c>
      <c r="C72">
        <f>IF($A72="","",SUMIFS(Schedule!$P:$P,Schedule!$G:$G,$A72,Schedule!$U:$U,$C$2)+SUMIFS('TL Schedule'!$J:$J,'TL Schedule'!$C:$C,$A72,'TL Schedule'!$K:$K,$C$2))</f>
        <v/>
      </c>
      <c r="D72">
        <f>IF($A72="","",B72+C72)</f>
        <v/>
      </c>
      <c r="E72">
        <f>IF($A72="","",SUMIFS(Overtime!$H:$H,Overtime!$B:$B,$A72,Overtime!$N:$N,$B$2)+SUMIFS(Overtime!$H:$H,Overtime!$B:$B,$A72,Overtime!$N:$N,$C$2))</f>
        <v/>
      </c>
      <c r="F72">
        <f>IF($A72="","",SUMIFS('Death Penalty'!$E:$E,'Death Penalty'!$B:$B,$A72,'Death Penalty'!$L:$L,$B$2)+SUMIFS('Death Penalty'!$E:$E,'Death Penalty'!$B:$B,$A72,'Death Penalty'!$L:$L,$C$2))</f>
        <v/>
      </c>
      <c r="G72">
        <f>IF($A72="","",D72+E72-F72)</f>
        <v/>
      </c>
      <c r="H72">
        <f>IF($A72="","",SUMIFS(Incentives!$H:$H,Incentives!$B:$B,$A72,Incentives!$N:$N,$B$2)+SUMIFS(Incentives!$H:$H,Incentives!$B:$B,$A72,Incentives!$N:$N,$C$2))</f>
        <v/>
      </c>
      <c r="I72">
        <f>IF($A72="","",COUNTIFS(Schedule!$G:$G,$A72,Schedule!$U:$U,$B$2,Schedule!$P:$P,"&gt;0")+COUNTIFS('TL Schedule'!$C:$C,$A72,'TL Schedule'!$K:$K,$B$2,'TL Schedule'!$J:$J,"&gt;0")+COUNTIFS(Schedule!$G:$G,$A72,Schedule!$U:$U,$C$2,Schedule!$P:$P,"&gt;0")+COUNTIFS('TL Schedule'!$C:$C,$A72,'TL Schedule'!$K:$K,$C$2,'TL Schedule'!$J:$J,"&gt;0"))</f>
        <v/>
      </c>
      <c r="J72">
        <f>IF($A72="","",IFERROR(TEXTJOIN(", ",TRUE,UNIQUE(FILTER(Schedule!$D$2:$D50000,Schedule!$G$2:$G50000=$A72,Schedule!$P$2:$P50000&gt;0,((Schedule!$U$2:$U50000=$B$2)+(Schedule!$U$2:$U50000=$C$2))))),""))</f>
        <v/>
      </c>
    </row>
    <row r="73">
      <c r="B73">
        <f>IF($A73="","",SUMIFS(Schedule!$P:$P,Schedule!$G:$G,$A73,Schedule!$U:$U,$B$2)+SUMIFS('TL Schedule'!$J:$J,'TL Schedule'!$C:$C,$A73,'TL Schedule'!$K:$K,$B$2))</f>
        <v/>
      </c>
      <c r="C73">
        <f>IF($A73="","",SUMIFS(Schedule!$P:$P,Schedule!$G:$G,$A73,Schedule!$U:$U,$C$2)+SUMIFS('TL Schedule'!$J:$J,'TL Schedule'!$C:$C,$A73,'TL Schedule'!$K:$K,$C$2))</f>
        <v/>
      </c>
      <c r="D73">
        <f>IF($A73="","",B73+C73)</f>
        <v/>
      </c>
      <c r="E73">
        <f>IF($A73="","",SUMIFS(Overtime!$H:$H,Overtime!$B:$B,$A73,Overtime!$N:$N,$B$2)+SUMIFS(Overtime!$H:$H,Overtime!$B:$B,$A73,Overtime!$N:$N,$C$2))</f>
        <v/>
      </c>
      <c r="F73">
        <f>IF($A73="","",SUMIFS('Death Penalty'!$E:$E,'Death Penalty'!$B:$B,$A73,'Death Penalty'!$L:$L,$B$2)+SUMIFS('Death Penalty'!$E:$E,'Death Penalty'!$B:$B,$A73,'Death Penalty'!$L:$L,$C$2))</f>
        <v/>
      </c>
      <c r="G73">
        <f>IF($A73="","",D73+E73-F73)</f>
        <v/>
      </c>
      <c r="H73">
        <f>IF($A73="","",SUMIFS(Incentives!$H:$H,Incentives!$B:$B,$A73,Incentives!$N:$N,$B$2)+SUMIFS(Incentives!$H:$H,Incentives!$B:$B,$A73,Incentives!$N:$N,$C$2))</f>
        <v/>
      </c>
      <c r="I73">
        <f>IF($A73="","",COUNTIFS(Schedule!$G:$G,$A73,Schedule!$U:$U,$B$2,Schedule!$P:$P,"&gt;0")+COUNTIFS('TL Schedule'!$C:$C,$A73,'TL Schedule'!$K:$K,$B$2,'TL Schedule'!$J:$J,"&gt;0")+COUNTIFS(Schedule!$G:$G,$A73,Schedule!$U:$U,$C$2,Schedule!$P:$P,"&gt;0")+COUNTIFS('TL Schedule'!$C:$C,$A73,'TL Schedule'!$K:$K,$C$2,'TL Schedule'!$J:$J,"&gt;0"))</f>
        <v/>
      </c>
      <c r="J73">
        <f>IF($A73="","",IFERROR(TEXTJOIN(", ",TRUE,UNIQUE(FILTER(Schedule!$D$2:$D50000,Schedule!$G$2:$G50000=$A73,Schedule!$P$2:$P50000&gt;0,((Schedule!$U$2:$U50000=$B$2)+(Schedule!$U$2:$U50000=$C$2))))),""))</f>
        <v/>
      </c>
    </row>
    <row r="74">
      <c r="B74">
        <f>IF($A74="","",SUMIFS(Schedule!$P:$P,Schedule!$G:$G,$A74,Schedule!$U:$U,$B$2)+SUMIFS('TL Schedule'!$J:$J,'TL Schedule'!$C:$C,$A74,'TL Schedule'!$K:$K,$B$2))</f>
        <v/>
      </c>
      <c r="C74">
        <f>IF($A74="","",SUMIFS(Schedule!$P:$P,Schedule!$G:$G,$A74,Schedule!$U:$U,$C$2)+SUMIFS('TL Schedule'!$J:$J,'TL Schedule'!$C:$C,$A74,'TL Schedule'!$K:$K,$C$2))</f>
        <v/>
      </c>
      <c r="D74">
        <f>IF($A74="","",B74+C74)</f>
        <v/>
      </c>
      <c r="E74">
        <f>IF($A74="","",SUMIFS(Overtime!$H:$H,Overtime!$B:$B,$A74,Overtime!$N:$N,$B$2)+SUMIFS(Overtime!$H:$H,Overtime!$B:$B,$A74,Overtime!$N:$N,$C$2))</f>
        <v/>
      </c>
      <c r="F74">
        <f>IF($A74="","",SUMIFS('Death Penalty'!$E:$E,'Death Penalty'!$B:$B,$A74,'Death Penalty'!$L:$L,$B$2)+SUMIFS('Death Penalty'!$E:$E,'Death Penalty'!$B:$B,$A74,'Death Penalty'!$L:$L,$C$2))</f>
        <v/>
      </c>
      <c r="G74">
        <f>IF($A74="","",D74+E74-F74)</f>
        <v/>
      </c>
      <c r="H74">
        <f>IF($A74="","",SUMIFS(Incentives!$H:$H,Incentives!$B:$B,$A74,Incentives!$N:$N,$B$2)+SUMIFS(Incentives!$H:$H,Incentives!$B:$B,$A74,Incentives!$N:$N,$C$2))</f>
        <v/>
      </c>
      <c r="I74">
        <f>IF($A74="","",COUNTIFS(Schedule!$G:$G,$A74,Schedule!$U:$U,$B$2,Schedule!$P:$P,"&gt;0")+COUNTIFS('TL Schedule'!$C:$C,$A74,'TL Schedule'!$K:$K,$B$2,'TL Schedule'!$J:$J,"&gt;0")+COUNTIFS(Schedule!$G:$G,$A74,Schedule!$U:$U,$C$2,Schedule!$P:$P,"&gt;0")+COUNTIFS('TL Schedule'!$C:$C,$A74,'TL Schedule'!$K:$K,$C$2,'TL Schedule'!$J:$J,"&gt;0"))</f>
        <v/>
      </c>
      <c r="J74">
        <f>IF($A74="","",IFERROR(TEXTJOIN(", ",TRUE,UNIQUE(FILTER(Schedule!$D$2:$D50000,Schedule!$G$2:$G50000=$A74,Schedule!$P$2:$P50000&gt;0,((Schedule!$U$2:$U50000=$B$2)+(Schedule!$U$2:$U50000=$C$2))))),""))</f>
        <v/>
      </c>
    </row>
    <row r="75">
      <c r="B75">
        <f>IF($A75="","",SUMIFS(Schedule!$P:$P,Schedule!$G:$G,$A75,Schedule!$U:$U,$B$2)+SUMIFS('TL Schedule'!$J:$J,'TL Schedule'!$C:$C,$A75,'TL Schedule'!$K:$K,$B$2))</f>
        <v/>
      </c>
      <c r="C75">
        <f>IF($A75="","",SUMIFS(Schedule!$P:$P,Schedule!$G:$G,$A75,Schedule!$U:$U,$C$2)+SUMIFS('TL Schedule'!$J:$J,'TL Schedule'!$C:$C,$A75,'TL Schedule'!$K:$K,$C$2))</f>
        <v/>
      </c>
      <c r="D75">
        <f>IF($A75="","",B75+C75)</f>
        <v/>
      </c>
      <c r="E75">
        <f>IF($A75="","",SUMIFS(Overtime!$H:$H,Overtime!$B:$B,$A75,Overtime!$N:$N,$B$2)+SUMIFS(Overtime!$H:$H,Overtime!$B:$B,$A75,Overtime!$N:$N,$C$2))</f>
        <v/>
      </c>
      <c r="F75">
        <f>IF($A75="","",SUMIFS('Death Penalty'!$E:$E,'Death Penalty'!$B:$B,$A75,'Death Penalty'!$L:$L,$B$2)+SUMIFS('Death Penalty'!$E:$E,'Death Penalty'!$B:$B,$A75,'Death Penalty'!$L:$L,$C$2))</f>
        <v/>
      </c>
      <c r="G75">
        <f>IF($A75="","",D75+E75-F75)</f>
        <v/>
      </c>
      <c r="H75">
        <f>IF($A75="","",SUMIFS(Incentives!$H:$H,Incentives!$B:$B,$A75,Incentives!$N:$N,$B$2)+SUMIFS(Incentives!$H:$H,Incentives!$B:$B,$A75,Incentives!$N:$N,$C$2))</f>
        <v/>
      </c>
      <c r="I75">
        <f>IF($A75="","",COUNTIFS(Schedule!$G:$G,$A75,Schedule!$U:$U,$B$2,Schedule!$P:$P,"&gt;0")+COUNTIFS('TL Schedule'!$C:$C,$A75,'TL Schedule'!$K:$K,$B$2,'TL Schedule'!$J:$J,"&gt;0")+COUNTIFS(Schedule!$G:$G,$A75,Schedule!$U:$U,$C$2,Schedule!$P:$P,"&gt;0")+COUNTIFS('TL Schedule'!$C:$C,$A75,'TL Schedule'!$K:$K,$C$2,'TL Schedule'!$J:$J,"&gt;0"))</f>
        <v/>
      </c>
      <c r="J75">
        <f>IF($A75="","",IFERROR(TEXTJOIN(", ",TRUE,UNIQUE(FILTER(Schedule!$D$2:$D50000,Schedule!$G$2:$G50000=$A75,Schedule!$P$2:$P50000&gt;0,((Schedule!$U$2:$U50000=$B$2)+(Schedule!$U$2:$U50000=$C$2))))),""))</f>
        <v/>
      </c>
    </row>
    <row r="76">
      <c r="B76">
        <f>IF($A76="","",SUMIFS(Schedule!$P:$P,Schedule!$G:$G,$A76,Schedule!$U:$U,$B$2)+SUMIFS('TL Schedule'!$J:$J,'TL Schedule'!$C:$C,$A76,'TL Schedule'!$K:$K,$B$2))</f>
        <v/>
      </c>
      <c r="C76">
        <f>IF($A76="","",SUMIFS(Schedule!$P:$P,Schedule!$G:$G,$A76,Schedule!$U:$U,$C$2)+SUMIFS('TL Schedule'!$J:$J,'TL Schedule'!$C:$C,$A76,'TL Schedule'!$K:$K,$C$2))</f>
        <v/>
      </c>
      <c r="D76">
        <f>IF($A76="","",B76+C76)</f>
        <v/>
      </c>
      <c r="E76">
        <f>IF($A76="","",SUMIFS(Overtime!$H:$H,Overtime!$B:$B,$A76,Overtime!$N:$N,$B$2)+SUMIFS(Overtime!$H:$H,Overtime!$B:$B,$A76,Overtime!$N:$N,$C$2))</f>
        <v/>
      </c>
      <c r="F76">
        <f>IF($A76="","",SUMIFS('Death Penalty'!$E:$E,'Death Penalty'!$B:$B,$A76,'Death Penalty'!$L:$L,$B$2)+SUMIFS('Death Penalty'!$E:$E,'Death Penalty'!$B:$B,$A76,'Death Penalty'!$L:$L,$C$2))</f>
        <v/>
      </c>
      <c r="G76">
        <f>IF($A76="","",D76+E76-F76)</f>
        <v/>
      </c>
      <c r="H76">
        <f>IF($A76="","",SUMIFS(Incentives!$H:$H,Incentives!$B:$B,$A76,Incentives!$N:$N,$B$2)+SUMIFS(Incentives!$H:$H,Incentives!$B:$B,$A76,Incentives!$N:$N,$C$2))</f>
        <v/>
      </c>
      <c r="I76">
        <f>IF($A76="","",COUNTIFS(Schedule!$G:$G,$A76,Schedule!$U:$U,$B$2,Schedule!$P:$P,"&gt;0")+COUNTIFS('TL Schedule'!$C:$C,$A76,'TL Schedule'!$K:$K,$B$2,'TL Schedule'!$J:$J,"&gt;0")+COUNTIFS(Schedule!$G:$G,$A76,Schedule!$U:$U,$C$2,Schedule!$P:$P,"&gt;0")+COUNTIFS('TL Schedule'!$C:$C,$A76,'TL Schedule'!$K:$K,$C$2,'TL Schedule'!$J:$J,"&gt;0"))</f>
        <v/>
      </c>
      <c r="J76">
        <f>IF($A76="","",IFERROR(TEXTJOIN(", ",TRUE,UNIQUE(FILTER(Schedule!$D$2:$D50000,Schedule!$G$2:$G50000=$A76,Schedule!$P$2:$P50000&gt;0,((Schedule!$U$2:$U50000=$B$2)+(Schedule!$U$2:$U50000=$C$2))))),""))</f>
        <v/>
      </c>
    </row>
    <row r="77">
      <c r="B77">
        <f>IF($A77="","",SUMIFS(Schedule!$P:$P,Schedule!$G:$G,$A77,Schedule!$U:$U,$B$2)+SUMIFS('TL Schedule'!$J:$J,'TL Schedule'!$C:$C,$A77,'TL Schedule'!$K:$K,$B$2))</f>
        <v/>
      </c>
      <c r="C77">
        <f>IF($A77="","",SUMIFS(Schedule!$P:$P,Schedule!$G:$G,$A77,Schedule!$U:$U,$C$2)+SUMIFS('TL Schedule'!$J:$J,'TL Schedule'!$C:$C,$A77,'TL Schedule'!$K:$K,$C$2))</f>
        <v/>
      </c>
      <c r="D77">
        <f>IF($A77="","",B77+C77)</f>
        <v/>
      </c>
      <c r="E77">
        <f>IF($A77="","",SUMIFS(Overtime!$H:$H,Overtime!$B:$B,$A77,Overtime!$N:$N,$B$2)+SUMIFS(Overtime!$H:$H,Overtime!$B:$B,$A77,Overtime!$N:$N,$C$2))</f>
        <v/>
      </c>
      <c r="F77">
        <f>IF($A77="","",SUMIFS('Death Penalty'!$E:$E,'Death Penalty'!$B:$B,$A77,'Death Penalty'!$L:$L,$B$2)+SUMIFS('Death Penalty'!$E:$E,'Death Penalty'!$B:$B,$A77,'Death Penalty'!$L:$L,$C$2))</f>
        <v/>
      </c>
      <c r="G77">
        <f>IF($A77="","",D77+E77-F77)</f>
        <v/>
      </c>
      <c r="H77">
        <f>IF($A77="","",SUMIFS(Incentives!$H:$H,Incentives!$B:$B,$A77,Incentives!$N:$N,$B$2)+SUMIFS(Incentives!$H:$H,Incentives!$B:$B,$A77,Incentives!$N:$N,$C$2))</f>
        <v/>
      </c>
      <c r="I77">
        <f>IF($A77="","",COUNTIFS(Schedule!$G:$G,$A77,Schedule!$U:$U,$B$2,Schedule!$P:$P,"&gt;0")+COUNTIFS('TL Schedule'!$C:$C,$A77,'TL Schedule'!$K:$K,$B$2,'TL Schedule'!$J:$J,"&gt;0")+COUNTIFS(Schedule!$G:$G,$A77,Schedule!$U:$U,$C$2,Schedule!$P:$P,"&gt;0")+COUNTIFS('TL Schedule'!$C:$C,$A77,'TL Schedule'!$K:$K,$C$2,'TL Schedule'!$J:$J,"&gt;0"))</f>
        <v/>
      </c>
      <c r="J77">
        <f>IF($A77="","",IFERROR(TEXTJOIN(", ",TRUE,UNIQUE(FILTER(Schedule!$D$2:$D50000,Schedule!$G$2:$G50000=$A77,Schedule!$P$2:$P50000&gt;0,((Schedule!$U$2:$U50000=$B$2)+(Schedule!$U$2:$U50000=$C$2))))),""))</f>
        <v/>
      </c>
    </row>
    <row r="78">
      <c r="B78">
        <f>IF($A78="","",SUMIFS(Schedule!$P:$P,Schedule!$G:$G,$A78,Schedule!$U:$U,$B$2)+SUMIFS('TL Schedule'!$J:$J,'TL Schedule'!$C:$C,$A78,'TL Schedule'!$K:$K,$B$2))</f>
        <v/>
      </c>
      <c r="C78">
        <f>IF($A78="","",SUMIFS(Schedule!$P:$P,Schedule!$G:$G,$A78,Schedule!$U:$U,$C$2)+SUMIFS('TL Schedule'!$J:$J,'TL Schedule'!$C:$C,$A78,'TL Schedule'!$K:$K,$C$2))</f>
        <v/>
      </c>
      <c r="D78">
        <f>IF($A78="","",B78+C78)</f>
        <v/>
      </c>
      <c r="E78">
        <f>IF($A78="","",SUMIFS(Overtime!$H:$H,Overtime!$B:$B,$A78,Overtime!$N:$N,$B$2)+SUMIFS(Overtime!$H:$H,Overtime!$B:$B,$A78,Overtime!$N:$N,$C$2))</f>
        <v/>
      </c>
      <c r="F78">
        <f>IF($A78="","",SUMIFS('Death Penalty'!$E:$E,'Death Penalty'!$B:$B,$A78,'Death Penalty'!$L:$L,$B$2)+SUMIFS('Death Penalty'!$E:$E,'Death Penalty'!$B:$B,$A78,'Death Penalty'!$L:$L,$C$2))</f>
        <v/>
      </c>
      <c r="G78">
        <f>IF($A78="","",D78+E78-F78)</f>
        <v/>
      </c>
      <c r="H78">
        <f>IF($A78="","",SUMIFS(Incentives!$H:$H,Incentives!$B:$B,$A78,Incentives!$N:$N,$B$2)+SUMIFS(Incentives!$H:$H,Incentives!$B:$B,$A78,Incentives!$N:$N,$C$2))</f>
        <v/>
      </c>
      <c r="I78">
        <f>IF($A78="","",COUNTIFS(Schedule!$G:$G,$A78,Schedule!$U:$U,$B$2,Schedule!$P:$P,"&gt;0")+COUNTIFS('TL Schedule'!$C:$C,$A78,'TL Schedule'!$K:$K,$B$2,'TL Schedule'!$J:$J,"&gt;0")+COUNTIFS(Schedule!$G:$G,$A78,Schedule!$U:$U,$C$2,Schedule!$P:$P,"&gt;0")+COUNTIFS('TL Schedule'!$C:$C,$A78,'TL Schedule'!$K:$K,$C$2,'TL Schedule'!$J:$J,"&gt;0"))</f>
        <v/>
      </c>
      <c r="J78">
        <f>IF($A78="","",IFERROR(TEXTJOIN(", ",TRUE,UNIQUE(FILTER(Schedule!$D$2:$D50000,Schedule!$G$2:$G50000=$A78,Schedule!$P$2:$P50000&gt;0,((Schedule!$U$2:$U50000=$B$2)+(Schedule!$U$2:$U50000=$C$2))))),""))</f>
        <v/>
      </c>
    </row>
    <row r="79">
      <c r="B79">
        <f>IF($A79="","",SUMIFS(Schedule!$P:$P,Schedule!$G:$G,$A79,Schedule!$U:$U,$B$2)+SUMIFS('TL Schedule'!$J:$J,'TL Schedule'!$C:$C,$A79,'TL Schedule'!$K:$K,$B$2))</f>
        <v/>
      </c>
      <c r="C79">
        <f>IF($A79="","",SUMIFS(Schedule!$P:$P,Schedule!$G:$G,$A79,Schedule!$U:$U,$C$2)+SUMIFS('TL Schedule'!$J:$J,'TL Schedule'!$C:$C,$A79,'TL Schedule'!$K:$K,$C$2))</f>
        <v/>
      </c>
      <c r="D79">
        <f>IF($A79="","",B79+C79)</f>
        <v/>
      </c>
      <c r="E79">
        <f>IF($A79="","",SUMIFS(Overtime!$H:$H,Overtime!$B:$B,$A79,Overtime!$N:$N,$B$2)+SUMIFS(Overtime!$H:$H,Overtime!$B:$B,$A79,Overtime!$N:$N,$C$2))</f>
        <v/>
      </c>
      <c r="F79">
        <f>IF($A79="","",SUMIFS('Death Penalty'!$E:$E,'Death Penalty'!$B:$B,$A79,'Death Penalty'!$L:$L,$B$2)+SUMIFS('Death Penalty'!$E:$E,'Death Penalty'!$B:$B,$A79,'Death Penalty'!$L:$L,$C$2))</f>
        <v/>
      </c>
      <c r="G79">
        <f>IF($A79="","",D79+E79-F79)</f>
        <v/>
      </c>
      <c r="H79">
        <f>IF($A79="","",SUMIFS(Incentives!$H:$H,Incentives!$B:$B,$A79,Incentives!$N:$N,$B$2)+SUMIFS(Incentives!$H:$H,Incentives!$B:$B,$A79,Incentives!$N:$N,$C$2))</f>
        <v/>
      </c>
      <c r="I79">
        <f>IF($A79="","",COUNTIFS(Schedule!$G:$G,$A79,Schedule!$U:$U,$B$2,Schedule!$P:$P,"&gt;0")+COUNTIFS('TL Schedule'!$C:$C,$A79,'TL Schedule'!$K:$K,$B$2,'TL Schedule'!$J:$J,"&gt;0")+COUNTIFS(Schedule!$G:$G,$A79,Schedule!$U:$U,$C$2,Schedule!$P:$P,"&gt;0")+COUNTIFS('TL Schedule'!$C:$C,$A79,'TL Schedule'!$K:$K,$C$2,'TL Schedule'!$J:$J,"&gt;0"))</f>
        <v/>
      </c>
      <c r="J79">
        <f>IF($A79="","",IFERROR(TEXTJOIN(", ",TRUE,UNIQUE(FILTER(Schedule!$D$2:$D50000,Schedule!$G$2:$G50000=$A79,Schedule!$P$2:$P50000&gt;0,((Schedule!$U$2:$U50000=$B$2)+(Schedule!$U$2:$U50000=$C$2))))),""))</f>
        <v/>
      </c>
    </row>
    <row r="80">
      <c r="B80">
        <f>IF($A80="","",SUMIFS(Schedule!$P:$P,Schedule!$G:$G,$A80,Schedule!$U:$U,$B$2)+SUMIFS('TL Schedule'!$J:$J,'TL Schedule'!$C:$C,$A80,'TL Schedule'!$K:$K,$B$2))</f>
        <v/>
      </c>
      <c r="C80">
        <f>IF($A80="","",SUMIFS(Schedule!$P:$P,Schedule!$G:$G,$A80,Schedule!$U:$U,$C$2)+SUMIFS('TL Schedule'!$J:$J,'TL Schedule'!$C:$C,$A80,'TL Schedule'!$K:$K,$C$2))</f>
        <v/>
      </c>
      <c r="D80">
        <f>IF($A80="","",B80+C80)</f>
        <v/>
      </c>
      <c r="E80">
        <f>IF($A80="","",SUMIFS(Overtime!$H:$H,Overtime!$B:$B,$A80,Overtime!$N:$N,$B$2)+SUMIFS(Overtime!$H:$H,Overtime!$B:$B,$A80,Overtime!$N:$N,$C$2))</f>
        <v/>
      </c>
      <c r="F80">
        <f>IF($A80="","",SUMIFS('Death Penalty'!$E:$E,'Death Penalty'!$B:$B,$A80,'Death Penalty'!$L:$L,$B$2)+SUMIFS('Death Penalty'!$E:$E,'Death Penalty'!$B:$B,$A80,'Death Penalty'!$L:$L,$C$2))</f>
        <v/>
      </c>
      <c r="G80">
        <f>IF($A80="","",D80+E80-F80)</f>
        <v/>
      </c>
      <c r="H80">
        <f>IF($A80="","",SUMIFS(Incentives!$H:$H,Incentives!$B:$B,$A80,Incentives!$N:$N,$B$2)+SUMIFS(Incentives!$H:$H,Incentives!$B:$B,$A80,Incentives!$N:$N,$C$2))</f>
        <v/>
      </c>
      <c r="I80">
        <f>IF($A80="","",COUNTIFS(Schedule!$G:$G,$A80,Schedule!$U:$U,$B$2,Schedule!$P:$P,"&gt;0")+COUNTIFS('TL Schedule'!$C:$C,$A80,'TL Schedule'!$K:$K,$B$2,'TL Schedule'!$J:$J,"&gt;0")+COUNTIFS(Schedule!$G:$G,$A80,Schedule!$U:$U,$C$2,Schedule!$P:$P,"&gt;0")+COUNTIFS('TL Schedule'!$C:$C,$A80,'TL Schedule'!$K:$K,$C$2,'TL Schedule'!$J:$J,"&gt;0"))</f>
        <v/>
      </c>
      <c r="J80">
        <f>IF($A80="","",IFERROR(TEXTJOIN(", ",TRUE,UNIQUE(FILTER(Schedule!$D$2:$D50000,Schedule!$G$2:$G50000=$A80,Schedule!$P$2:$P50000&gt;0,((Schedule!$U$2:$U50000=$B$2)+(Schedule!$U$2:$U50000=$C$2))))),""))</f>
        <v/>
      </c>
    </row>
    <row r="81">
      <c r="B81">
        <f>IF($A81="","",SUMIFS(Schedule!$P:$P,Schedule!$G:$G,$A81,Schedule!$U:$U,$B$2)+SUMIFS('TL Schedule'!$J:$J,'TL Schedule'!$C:$C,$A81,'TL Schedule'!$K:$K,$B$2))</f>
        <v/>
      </c>
      <c r="C81">
        <f>IF($A81="","",SUMIFS(Schedule!$P:$P,Schedule!$G:$G,$A81,Schedule!$U:$U,$C$2)+SUMIFS('TL Schedule'!$J:$J,'TL Schedule'!$C:$C,$A81,'TL Schedule'!$K:$K,$C$2))</f>
        <v/>
      </c>
      <c r="D81">
        <f>IF($A81="","",B81+C81)</f>
        <v/>
      </c>
      <c r="E81">
        <f>IF($A81="","",SUMIFS(Overtime!$H:$H,Overtime!$B:$B,$A81,Overtime!$N:$N,$B$2)+SUMIFS(Overtime!$H:$H,Overtime!$B:$B,$A81,Overtime!$N:$N,$C$2))</f>
        <v/>
      </c>
      <c r="F81">
        <f>IF($A81="","",SUMIFS('Death Penalty'!$E:$E,'Death Penalty'!$B:$B,$A81,'Death Penalty'!$L:$L,$B$2)+SUMIFS('Death Penalty'!$E:$E,'Death Penalty'!$B:$B,$A81,'Death Penalty'!$L:$L,$C$2))</f>
        <v/>
      </c>
      <c r="G81">
        <f>IF($A81="","",D81+E81-F81)</f>
        <v/>
      </c>
      <c r="H81">
        <f>IF($A81="","",SUMIFS(Incentives!$H:$H,Incentives!$B:$B,$A81,Incentives!$N:$N,$B$2)+SUMIFS(Incentives!$H:$H,Incentives!$B:$B,$A81,Incentives!$N:$N,$C$2))</f>
        <v/>
      </c>
      <c r="I81">
        <f>IF($A81="","",COUNTIFS(Schedule!$G:$G,$A81,Schedule!$U:$U,$B$2,Schedule!$P:$P,"&gt;0")+COUNTIFS('TL Schedule'!$C:$C,$A81,'TL Schedule'!$K:$K,$B$2,'TL Schedule'!$J:$J,"&gt;0")+COUNTIFS(Schedule!$G:$G,$A81,Schedule!$U:$U,$C$2,Schedule!$P:$P,"&gt;0")+COUNTIFS('TL Schedule'!$C:$C,$A81,'TL Schedule'!$K:$K,$C$2,'TL Schedule'!$J:$J,"&gt;0"))</f>
        <v/>
      </c>
      <c r="J81">
        <f>IF($A81="","",IFERROR(TEXTJOIN(", ",TRUE,UNIQUE(FILTER(Schedule!$D$2:$D50000,Schedule!$G$2:$G50000=$A81,Schedule!$P$2:$P50000&gt;0,((Schedule!$U$2:$U50000=$B$2)+(Schedule!$U$2:$U50000=$C$2))))),""))</f>
        <v/>
      </c>
    </row>
    <row r="82">
      <c r="B82">
        <f>IF($A82="","",SUMIFS(Schedule!$P:$P,Schedule!$G:$G,$A82,Schedule!$U:$U,$B$2)+SUMIFS('TL Schedule'!$J:$J,'TL Schedule'!$C:$C,$A82,'TL Schedule'!$K:$K,$B$2))</f>
        <v/>
      </c>
      <c r="C82">
        <f>IF($A82="","",SUMIFS(Schedule!$P:$P,Schedule!$G:$G,$A82,Schedule!$U:$U,$C$2)+SUMIFS('TL Schedule'!$J:$J,'TL Schedule'!$C:$C,$A82,'TL Schedule'!$K:$K,$C$2))</f>
        <v/>
      </c>
      <c r="D82">
        <f>IF($A82="","",B82+C82)</f>
        <v/>
      </c>
      <c r="E82">
        <f>IF($A82="","",SUMIFS(Overtime!$H:$H,Overtime!$B:$B,$A82,Overtime!$N:$N,$B$2)+SUMIFS(Overtime!$H:$H,Overtime!$B:$B,$A82,Overtime!$N:$N,$C$2))</f>
        <v/>
      </c>
      <c r="F82">
        <f>IF($A82="","",SUMIFS('Death Penalty'!$E:$E,'Death Penalty'!$B:$B,$A82,'Death Penalty'!$L:$L,$B$2)+SUMIFS('Death Penalty'!$E:$E,'Death Penalty'!$B:$B,$A82,'Death Penalty'!$L:$L,$C$2))</f>
        <v/>
      </c>
      <c r="G82">
        <f>IF($A82="","",D82+E82-F82)</f>
        <v/>
      </c>
      <c r="H82">
        <f>IF($A82="","",SUMIFS(Incentives!$H:$H,Incentives!$B:$B,$A82,Incentives!$N:$N,$B$2)+SUMIFS(Incentives!$H:$H,Incentives!$B:$B,$A82,Incentives!$N:$N,$C$2))</f>
        <v/>
      </c>
      <c r="I82">
        <f>IF($A82="","",COUNTIFS(Schedule!$G:$G,$A82,Schedule!$U:$U,$B$2,Schedule!$P:$P,"&gt;0")+COUNTIFS('TL Schedule'!$C:$C,$A82,'TL Schedule'!$K:$K,$B$2,'TL Schedule'!$J:$J,"&gt;0")+COUNTIFS(Schedule!$G:$G,$A82,Schedule!$U:$U,$C$2,Schedule!$P:$P,"&gt;0")+COUNTIFS('TL Schedule'!$C:$C,$A82,'TL Schedule'!$K:$K,$C$2,'TL Schedule'!$J:$J,"&gt;0"))</f>
        <v/>
      </c>
      <c r="J82">
        <f>IF($A82="","",IFERROR(TEXTJOIN(", ",TRUE,UNIQUE(FILTER(Schedule!$D$2:$D50000,Schedule!$G$2:$G50000=$A82,Schedule!$P$2:$P50000&gt;0,((Schedule!$U$2:$U50000=$B$2)+(Schedule!$U$2:$U50000=$C$2))))),""))</f>
        <v/>
      </c>
    </row>
    <row r="83">
      <c r="B83">
        <f>IF($A83="","",SUMIFS(Schedule!$P:$P,Schedule!$G:$G,$A83,Schedule!$U:$U,$B$2)+SUMIFS('TL Schedule'!$J:$J,'TL Schedule'!$C:$C,$A83,'TL Schedule'!$K:$K,$B$2))</f>
        <v/>
      </c>
      <c r="C83">
        <f>IF($A83="","",SUMIFS(Schedule!$P:$P,Schedule!$G:$G,$A83,Schedule!$U:$U,$C$2)+SUMIFS('TL Schedule'!$J:$J,'TL Schedule'!$C:$C,$A83,'TL Schedule'!$K:$K,$C$2))</f>
        <v/>
      </c>
      <c r="D83">
        <f>IF($A83="","",B83+C83)</f>
        <v/>
      </c>
      <c r="E83">
        <f>IF($A83="","",SUMIFS(Overtime!$H:$H,Overtime!$B:$B,$A83,Overtime!$N:$N,$B$2)+SUMIFS(Overtime!$H:$H,Overtime!$B:$B,$A83,Overtime!$N:$N,$C$2))</f>
        <v/>
      </c>
      <c r="F83">
        <f>IF($A83="","",SUMIFS('Death Penalty'!$E:$E,'Death Penalty'!$B:$B,$A83,'Death Penalty'!$L:$L,$B$2)+SUMIFS('Death Penalty'!$E:$E,'Death Penalty'!$B:$B,$A83,'Death Penalty'!$L:$L,$C$2))</f>
        <v/>
      </c>
      <c r="G83">
        <f>IF($A83="","",D83+E83-F83)</f>
        <v/>
      </c>
      <c r="H83">
        <f>IF($A83="","",SUMIFS(Incentives!$H:$H,Incentives!$B:$B,$A83,Incentives!$N:$N,$B$2)+SUMIFS(Incentives!$H:$H,Incentives!$B:$B,$A83,Incentives!$N:$N,$C$2))</f>
        <v/>
      </c>
      <c r="I83">
        <f>IF($A83="","",COUNTIFS(Schedule!$G:$G,$A83,Schedule!$U:$U,$B$2,Schedule!$P:$P,"&gt;0")+COUNTIFS('TL Schedule'!$C:$C,$A83,'TL Schedule'!$K:$K,$B$2,'TL Schedule'!$J:$J,"&gt;0")+COUNTIFS(Schedule!$G:$G,$A83,Schedule!$U:$U,$C$2,Schedule!$P:$P,"&gt;0")+COUNTIFS('TL Schedule'!$C:$C,$A83,'TL Schedule'!$K:$K,$C$2,'TL Schedule'!$J:$J,"&gt;0"))</f>
        <v/>
      </c>
      <c r="J83">
        <f>IF($A83="","",IFERROR(TEXTJOIN(", ",TRUE,UNIQUE(FILTER(Schedule!$D$2:$D50000,Schedule!$G$2:$G50000=$A83,Schedule!$P$2:$P50000&gt;0,((Schedule!$U$2:$U50000=$B$2)+(Schedule!$U$2:$U50000=$C$2))))),""))</f>
        <v/>
      </c>
    </row>
    <row r="84">
      <c r="B84">
        <f>IF($A84="","",SUMIFS(Schedule!$P:$P,Schedule!$G:$G,$A84,Schedule!$U:$U,$B$2)+SUMIFS('TL Schedule'!$J:$J,'TL Schedule'!$C:$C,$A84,'TL Schedule'!$K:$K,$B$2))</f>
        <v/>
      </c>
      <c r="C84">
        <f>IF($A84="","",SUMIFS(Schedule!$P:$P,Schedule!$G:$G,$A84,Schedule!$U:$U,$C$2)+SUMIFS('TL Schedule'!$J:$J,'TL Schedule'!$C:$C,$A84,'TL Schedule'!$K:$K,$C$2))</f>
        <v/>
      </c>
      <c r="D84">
        <f>IF($A84="","",B84+C84)</f>
        <v/>
      </c>
      <c r="E84">
        <f>IF($A84="","",SUMIFS(Overtime!$H:$H,Overtime!$B:$B,$A84,Overtime!$N:$N,$B$2)+SUMIFS(Overtime!$H:$H,Overtime!$B:$B,$A84,Overtime!$N:$N,$C$2))</f>
        <v/>
      </c>
      <c r="F84">
        <f>IF($A84="","",SUMIFS('Death Penalty'!$E:$E,'Death Penalty'!$B:$B,$A84,'Death Penalty'!$L:$L,$B$2)+SUMIFS('Death Penalty'!$E:$E,'Death Penalty'!$B:$B,$A84,'Death Penalty'!$L:$L,$C$2))</f>
        <v/>
      </c>
      <c r="G84">
        <f>IF($A84="","",D84+E84-F84)</f>
        <v/>
      </c>
      <c r="H84">
        <f>IF($A84="","",SUMIFS(Incentives!$H:$H,Incentives!$B:$B,$A84,Incentives!$N:$N,$B$2)+SUMIFS(Incentives!$H:$H,Incentives!$B:$B,$A84,Incentives!$N:$N,$C$2))</f>
        <v/>
      </c>
      <c r="I84">
        <f>IF($A84="","",COUNTIFS(Schedule!$G:$G,$A84,Schedule!$U:$U,$B$2,Schedule!$P:$P,"&gt;0")+COUNTIFS('TL Schedule'!$C:$C,$A84,'TL Schedule'!$K:$K,$B$2,'TL Schedule'!$J:$J,"&gt;0")+COUNTIFS(Schedule!$G:$G,$A84,Schedule!$U:$U,$C$2,Schedule!$P:$P,"&gt;0")+COUNTIFS('TL Schedule'!$C:$C,$A84,'TL Schedule'!$K:$K,$C$2,'TL Schedule'!$J:$J,"&gt;0"))</f>
        <v/>
      </c>
      <c r="J84">
        <f>IF($A84="","",IFERROR(TEXTJOIN(", ",TRUE,UNIQUE(FILTER(Schedule!$D$2:$D50000,Schedule!$G$2:$G50000=$A84,Schedule!$P$2:$P50000&gt;0,((Schedule!$U$2:$U50000=$B$2)+(Schedule!$U$2:$U50000=$C$2))))),""))</f>
        <v/>
      </c>
    </row>
    <row r="85">
      <c r="B85">
        <f>IF($A85="","",SUMIFS(Schedule!$P:$P,Schedule!$G:$G,$A85,Schedule!$U:$U,$B$2)+SUMIFS('TL Schedule'!$J:$J,'TL Schedule'!$C:$C,$A85,'TL Schedule'!$K:$K,$B$2))</f>
        <v/>
      </c>
      <c r="C85">
        <f>IF($A85="","",SUMIFS(Schedule!$P:$P,Schedule!$G:$G,$A85,Schedule!$U:$U,$C$2)+SUMIFS('TL Schedule'!$J:$J,'TL Schedule'!$C:$C,$A85,'TL Schedule'!$K:$K,$C$2))</f>
        <v/>
      </c>
      <c r="D85">
        <f>IF($A85="","",B85+C85)</f>
        <v/>
      </c>
      <c r="E85">
        <f>IF($A85="","",SUMIFS(Overtime!$H:$H,Overtime!$B:$B,$A85,Overtime!$N:$N,$B$2)+SUMIFS(Overtime!$H:$H,Overtime!$B:$B,$A85,Overtime!$N:$N,$C$2))</f>
        <v/>
      </c>
      <c r="F85">
        <f>IF($A85="","",SUMIFS('Death Penalty'!$E:$E,'Death Penalty'!$B:$B,$A85,'Death Penalty'!$L:$L,$B$2)+SUMIFS('Death Penalty'!$E:$E,'Death Penalty'!$B:$B,$A85,'Death Penalty'!$L:$L,$C$2))</f>
        <v/>
      </c>
      <c r="G85">
        <f>IF($A85="","",D85+E85-F85)</f>
        <v/>
      </c>
      <c r="H85">
        <f>IF($A85="","",SUMIFS(Incentives!$H:$H,Incentives!$B:$B,$A85,Incentives!$N:$N,$B$2)+SUMIFS(Incentives!$H:$H,Incentives!$B:$B,$A85,Incentives!$N:$N,$C$2))</f>
        <v/>
      </c>
      <c r="I85">
        <f>IF($A85="","",COUNTIFS(Schedule!$G:$G,$A85,Schedule!$U:$U,$B$2,Schedule!$P:$P,"&gt;0")+COUNTIFS('TL Schedule'!$C:$C,$A85,'TL Schedule'!$K:$K,$B$2,'TL Schedule'!$J:$J,"&gt;0")+COUNTIFS(Schedule!$G:$G,$A85,Schedule!$U:$U,$C$2,Schedule!$P:$P,"&gt;0")+COUNTIFS('TL Schedule'!$C:$C,$A85,'TL Schedule'!$K:$K,$C$2,'TL Schedule'!$J:$J,"&gt;0"))</f>
        <v/>
      </c>
      <c r="J85">
        <f>IF($A85="","",IFERROR(TEXTJOIN(", ",TRUE,UNIQUE(FILTER(Schedule!$D$2:$D50000,Schedule!$G$2:$G50000=$A85,Schedule!$P$2:$P50000&gt;0,((Schedule!$U$2:$U50000=$B$2)+(Schedule!$U$2:$U50000=$C$2))))),""))</f>
        <v/>
      </c>
    </row>
    <row r="86">
      <c r="B86">
        <f>IF($A86="","",SUMIFS(Schedule!$P:$P,Schedule!$G:$G,$A86,Schedule!$U:$U,$B$2)+SUMIFS('TL Schedule'!$J:$J,'TL Schedule'!$C:$C,$A86,'TL Schedule'!$K:$K,$B$2))</f>
        <v/>
      </c>
      <c r="C86">
        <f>IF($A86="","",SUMIFS(Schedule!$P:$P,Schedule!$G:$G,$A86,Schedule!$U:$U,$C$2)+SUMIFS('TL Schedule'!$J:$J,'TL Schedule'!$C:$C,$A86,'TL Schedule'!$K:$K,$C$2))</f>
        <v/>
      </c>
      <c r="D86">
        <f>IF($A86="","",B86+C86)</f>
        <v/>
      </c>
      <c r="E86">
        <f>IF($A86="","",SUMIFS(Overtime!$H:$H,Overtime!$B:$B,$A86,Overtime!$N:$N,$B$2)+SUMIFS(Overtime!$H:$H,Overtime!$B:$B,$A86,Overtime!$N:$N,$C$2))</f>
        <v/>
      </c>
      <c r="F86">
        <f>IF($A86="","",SUMIFS('Death Penalty'!$E:$E,'Death Penalty'!$B:$B,$A86,'Death Penalty'!$L:$L,$B$2)+SUMIFS('Death Penalty'!$E:$E,'Death Penalty'!$B:$B,$A86,'Death Penalty'!$L:$L,$C$2))</f>
        <v/>
      </c>
      <c r="G86">
        <f>IF($A86="","",D86+E86-F86)</f>
        <v/>
      </c>
      <c r="H86">
        <f>IF($A86="","",SUMIFS(Incentives!$H:$H,Incentives!$B:$B,$A86,Incentives!$N:$N,$B$2)+SUMIFS(Incentives!$H:$H,Incentives!$B:$B,$A86,Incentives!$N:$N,$C$2))</f>
        <v/>
      </c>
      <c r="I86">
        <f>IF($A86="","",COUNTIFS(Schedule!$G:$G,$A86,Schedule!$U:$U,$B$2,Schedule!$P:$P,"&gt;0")+COUNTIFS('TL Schedule'!$C:$C,$A86,'TL Schedule'!$K:$K,$B$2,'TL Schedule'!$J:$J,"&gt;0")+COUNTIFS(Schedule!$G:$G,$A86,Schedule!$U:$U,$C$2,Schedule!$P:$P,"&gt;0")+COUNTIFS('TL Schedule'!$C:$C,$A86,'TL Schedule'!$K:$K,$C$2,'TL Schedule'!$J:$J,"&gt;0"))</f>
        <v/>
      </c>
      <c r="J86">
        <f>IF($A86="","",IFERROR(TEXTJOIN(", ",TRUE,UNIQUE(FILTER(Schedule!$D$2:$D50000,Schedule!$G$2:$G50000=$A86,Schedule!$P$2:$P50000&gt;0,((Schedule!$U$2:$U50000=$B$2)+(Schedule!$U$2:$U50000=$C$2))))),""))</f>
        <v/>
      </c>
    </row>
    <row r="87">
      <c r="B87">
        <f>IF($A87="","",SUMIFS(Schedule!$P:$P,Schedule!$G:$G,$A87,Schedule!$U:$U,$B$2)+SUMIFS('TL Schedule'!$J:$J,'TL Schedule'!$C:$C,$A87,'TL Schedule'!$K:$K,$B$2))</f>
        <v/>
      </c>
      <c r="C87">
        <f>IF($A87="","",SUMIFS(Schedule!$P:$P,Schedule!$G:$G,$A87,Schedule!$U:$U,$C$2)+SUMIFS('TL Schedule'!$J:$J,'TL Schedule'!$C:$C,$A87,'TL Schedule'!$K:$K,$C$2))</f>
        <v/>
      </c>
      <c r="D87">
        <f>IF($A87="","",B87+C87)</f>
        <v/>
      </c>
      <c r="E87">
        <f>IF($A87="","",SUMIFS(Overtime!$H:$H,Overtime!$B:$B,$A87,Overtime!$N:$N,$B$2)+SUMIFS(Overtime!$H:$H,Overtime!$B:$B,$A87,Overtime!$N:$N,$C$2))</f>
        <v/>
      </c>
      <c r="F87">
        <f>IF($A87="","",SUMIFS('Death Penalty'!$E:$E,'Death Penalty'!$B:$B,$A87,'Death Penalty'!$L:$L,$B$2)+SUMIFS('Death Penalty'!$E:$E,'Death Penalty'!$B:$B,$A87,'Death Penalty'!$L:$L,$C$2))</f>
        <v/>
      </c>
      <c r="G87">
        <f>IF($A87="","",D87+E87-F87)</f>
        <v/>
      </c>
      <c r="H87">
        <f>IF($A87="","",SUMIFS(Incentives!$H:$H,Incentives!$B:$B,$A87,Incentives!$N:$N,$B$2)+SUMIFS(Incentives!$H:$H,Incentives!$B:$B,$A87,Incentives!$N:$N,$C$2))</f>
        <v/>
      </c>
      <c r="I87">
        <f>IF($A87="","",COUNTIFS(Schedule!$G:$G,$A87,Schedule!$U:$U,$B$2,Schedule!$P:$P,"&gt;0")+COUNTIFS('TL Schedule'!$C:$C,$A87,'TL Schedule'!$K:$K,$B$2,'TL Schedule'!$J:$J,"&gt;0")+COUNTIFS(Schedule!$G:$G,$A87,Schedule!$U:$U,$C$2,Schedule!$P:$P,"&gt;0")+COUNTIFS('TL Schedule'!$C:$C,$A87,'TL Schedule'!$K:$K,$C$2,'TL Schedule'!$J:$J,"&gt;0"))</f>
        <v/>
      </c>
      <c r="J87">
        <f>IF($A87="","",IFERROR(TEXTJOIN(", ",TRUE,UNIQUE(FILTER(Schedule!$D$2:$D50000,Schedule!$G$2:$G50000=$A87,Schedule!$P$2:$P50000&gt;0,((Schedule!$U$2:$U50000=$B$2)+(Schedule!$U$2:$U50000=$C$2))))),""))</f>
        <v/>
      </c>
    </row>
    <row r="88">
      <c r="B88">
        <f>IF($A88="","",SUMIFS(Schedule!$P:$P,Schedule!$G:$G,$A88,Schedule!$U:$U,$B$2)+SUMIFS('TL Schedule'!$J:$J,'TL Schedule'!$C:$C,$A88,'TL Schedule'!$K:$K,$B$2))</f>
        <v/>
      </c>
      <c r="C88">
        <f>IF($A88="","",SUMIFS(Schedule!$P:$P,Schedule!$G:$G,$A88,Schedule!$U:$U,$C$2)+SUMIFS('TL Schedule'!$J:$J,'TL Schedule'!$C:$C,$A88,'TL Schedule'!$K:$K,$C$2))</f>
        <v/>
      </c>
      <c r="D88">
        <f>IF($A88="","",B88+C88)</f>
        <v/>
      </c>
      <c r="E88">
        <f>IF($A88="","",SUMIFS(Overtime!$H:$H,Overtime!$B:$B,$A88,Overtime!$N:$N,$B$2)+SUMIFS(Overtime!$H:$H,Overtime!$B:$B,$A88,Overtime!$N:$N,$C$2))</f>
        <v/>
      </c>
      <c r="F88">
        <f>IF($A88="","",SUMIFS('Death Penalty'!$E:$E,'Death Penalty'!$B:$B,$A88,'Death Penalty'!$L:$L,$B$2)+SUMIFS('Death Penalty'!$E:$E,'Death Penalty'!$B:$B,$A88,'Death Penalty'!$L:$L,$C$2))</f>
        <v/>
      </c>
      <c r="G88">
        <f>IF($A88="","",D88+E88-F88)</f>
        <v/>
      </c>
      <c r="H88">
        <f>IF($A88="","",SUMIFS(Incentives!$H:$H,Incentives!$B:$B,$A88,Incentives!$N:$N,$B$2)+SUMIFS(Incentives!$H:$H,Incentives!$B:$B,$A88,Incentives!$N:$N,$C$2))</f>
        <v/>
      </c>
      <c r="I88">
        <f>IF($A88="","",COUNTIFS(Schedule!$G:$G,$A88,Schedule!$U:$U,$B$2,Schedule!$P:$P,"&gt;0")+COUNTIFS('TL Schedule'!$C:$C,$A88,'TL Schedule'!$K:$K,$B$2,'TL Schedule'!$J:$J,"&gt;0")+COUNTIFS(Schedule!$G:$G,$A88,Schedule!$U:$U,$C$2,Schedule!$P:$P,"&gt;0")+COUNTIFS('TL Schedule'!$C:$C,$A88,'TL Schedule'!$K:$K,$C$2,'TL Schedule'!$J:$J,"&gt;0"))</f>
        <v/>
      </c>
      <c r="J88">
        <f>IF($A88="","",IFERROR(TEXTJOIN(", ",TRUE,UNIQUE(FILTER(Schedule!$D$2:$D50000,Schedule!$G$2:$G50000=$A88,Schedule!$P$2:$P50000&gt;0,((Schedule!$U$2:$U50000=$B$2)+(Schedule!$U$2:$U50000=$C$2))))),""))</f>
        <v/>
      </c>
    </row>
    <row r="89">
      <c r="B89">
        <f>IF($A89="","",SUMIFS(Schedule!$P:$P,Schedule!$G:$G,$A89,Schedule!$U:$U,$B$2)+SUMIFS('TL Schedule'!$J:$J,'TL Schedule'!$C:$C,$A89,'TL Schedule'!$K:$K,$B$2))</f>
        <v/>
      </c>
      <c r="C89">
        <f>IF($A89="","",SUMIFS(Schedule!$P:$P,Schedule!$G:$G,$A89,Schedule!$U:$U,$C$2)+SUMIFS('TL Schedule'!$J:$J,'TL Schedule'!$C:$C,$A89,'TL Schedule'!$K:$K,$C$2))</f>
        <v/>
      </c>
      <c r="D89">
        <f>IF($A89="","",B89+C89)</f>
        <v/>
      </c>
      <c r="E89">
        <f>IF($A89="","",SUMIFS(Overtime!$H:$H,Overtime!$B:$B,$A89,Overtime!$N:$N,$B$2)+SUMIFS(Overtime!$H:$H,Overtime!$B:$B,$A89,Overtime!$N:$N,$C$2))</f>
        <v/>
      </c>
      <c r="F89">
        <f>IF($A89="","",SUMIFS('Death Penalty'!$E:$E,'Death Penalty'!$B:$B,$A89,'Death Penalty'!$L:$L,$B$2)+SUMIFS('Death Penalty'!$E:$E,'Death Penalty'!$B:$B,$A89,'Death Penalty'!$L:$L,$C$2))</f>
        <v/>
      </c>
      <c r="G89">
        <f>IF($A89="","",D89+E89-F89)</f>
        <v/>
      </c>
      <c r="H89">
        <f>IF($A89="","",SUMIFS(Incentives!$H:$H,Incentives!$B:$B,$A89,Incentives!$N:$N,$B$2)+SUMIFS(Incentives!$H:$H,Incentives!$B:$B,$A89,Incentives!$N:$N,$C$2))</f>
        <v/>
      </c>
      <c r="I89">
        <f>IF($A89="","",COUNTIFS(Schedule!$G:$G,$A89,Schedule!$U:$U,$B$2,Schedule!$P:$P,"&gt;0")+COUNTIFS('TL Schedule'!$C:$C,$A89,'TL Schedule'!$K:$K,$B$2,'TL Schedule'!$J:$J,"&gt;0")+COUNTIFS(Schedule!$G:$G,$A89,Schedule!$U:$U,$C$2,Schedule!$P:$P,"&gt;0")+COUNTIFS('TL Schedule'!$C:$C,$A89,'TL Schedule'!$K:$K,$C$2,'TL Schedule'!$J:$J,"&gt;0"))</f>
        <v/>
      </c>
      <c r="J89">
        <f>IF($A89="","",IFERROR(TEXTJOIN(", ",TRUE,UNIQUE(FILTER(Schedule!$D$2:$D50000,Schedule!$G$2:$G50000=$A89,Schedule!$P$2:$P50000&gt;0,((Schedule!$U$2:$U50000=$B$2)+(Schedule!$U$2:$U50000=$C$2))))),""))</f>
        <v/>
      </c>
    </row>
    <row r="90">
      <c r="B90">
        <f>IF($A90="","",SUMIFS(Schedule!$P:$P,Schedule!$G:$G,$A90,Schedule!$U:$U,$B$2)+SUMIFS('TL Schedule'!$J:$J,'TL Schedule'!$C:$C,$A90,'TL Schedule'!$K:$K,$B$2))</f>
        <v/>
      </c>
      <c r="C90">
        <f>IF($A90="","",SUMIFS(Schedule!$P:$P,Schedule!$G:$G,$A90,Schedule!$U:$U,$C$2)+SUMIFS('TL Schedule'!$J:$J,'TL Schedule'!$C:$C,$A90,'TL Schedule'!$K:$K,$C$2))</f>
        <v/>
      </c>
      <c r="D90">
        <f>IF($A90="","",B90+C90)</f>
        <v/>
      </c>
      <c r="E90">
        <f>IF($A90="","",SUMIFS(Overtime!$H:$H,Overtime!$B:$B,$A90,Overtime!$N:$N,$B$2)+SUMIFS(Overtime!$H:$H,Overtime!$B:$B,$A90,Overtime!$N:$N,$C$2))</f>
        <v/>
      </c>
      <c r="F90">
        <f>IF($A90="","",SUMIFS('Death Penalty'!$E:$E,'Death Penalty'!$B:$B,$A90,'Death Penalty'!$L:$L,$B$2)+SUMIFS('Death Penalty'!$E:$E,'Death Penalty'!$B:$B,$A90,'Death Penalty'!$L:$L,$C$2))</f>
        <v/>
      </c>
      <c r="G90">
        <f>IF($A90="","",D90+E90-F90)</f>
        <v/>
      </c>
      <c r="H90">
        <f>IF($A90="","",SUMIFS(Incentives!$H:$H,Incentives!$B:$B,$A90,Incentives!$N:$N,$B$2)+SUMIFS(Incentives!$H:$H,Incentives!$B:$B,$A90,Incentives!$N:$N,$C$2))</f>
        <v/>
      </c>
      <c r="I90">
        <f>IF($A90="","",COUNTIFS(Schedule!$G:$G,$A90,Schedule!$U:$U,$B$2,Schedule!$P:$P,"&gt;0")+COUNTIFS('TL Schedule'!$C:$C,$A90,'TL Schedule'!$K:$K,$B$2,'TL Schedule'!$J:$J,"&gt;0")+COUNTIFS(Schedule!$G:$G,$A90,Schedule!$U:$U,$C$2,Schedule!$P:$P,"&gt;0")+COUNTIFS('TL Schedule'!$C:$C,$A90,'TL Schedule'!$K:$K,$C$2,'TL Schedule'!$J:$J,"&gt;0"))</f>
        <v/>
      </c>
      <c r="J90">
        <f>IF($A90="","",IFERROR(TEXTJOIN(", ",TRUE,UNIQUE(FILTER(Schedule!$D$2:$D50000,Schedule!$G$2:$G50000=$A90,Schedule!$P$2:$P50000&gt;0,((Schedule!$U$2:$U50000=$B$2)+(Schedule!$U$2:$U50000=$C$2))))),""))</f>
        <v/>
      </c>
    </row>
    <row r="91">
      <c r="B91">
        <f>IF($A91="","",SUMIFS(Schedule!$P:$P,Schedule!$G:$G,$A91,Schedule!$U:$U,$B$2)+SUMIFS('TL Schedule'!$J:$J,'TL Schedule'!$C:$C,$A91,'TL Schedule'!$K:$K,$B$2))</f>
        <v/>
      </c>
      <c r="C91">
        <f>IF($A91="","",SUMIFS(Schedule!$P:$P,Schedule!$G:$G,$A91,Schedule!$U:$U,$C$2)+SUMIFS('TL Schedule'!$J:$J,'TL Schedule'!$C:$C,$A91,'TL Schedule'!$K:$K,$C$2))</f>
        <v/>
      </c>
      <c r="D91">
        <f>IF($A91="","",B91+C91)</f>
        <v/>
      </c>
      <c r="E91">
        <f>IF($A91="","",SUMIFS(Overtime!$H:$H,Overtime!$B:$B,$A91,Overtime!$N:$N,$B$2)+SUMIFS(Overtime!$H:$H,Overtime!$B:$B,$A91,Overtime!$N:$N,$C$2))</f>
        <v/>
      </c>
      <c r="F91">
        <f>IF($A91="","",SUMIFS('Death Penalty'!$E:$E,'Death Penalty'!$B:$B,$A91,'Death Penalty'!$L:$L,$B$2)+SUMIFS('Death Penalty'!$E:$E,'Death Penalty'!$B:$B,$A91,'Death Penalty'!$L:$L,$C$2))</f>
        <v/>
      </c>
      <c r="G91">
        <f>IF($A91="","",D91+E91-F91)</f>
        <v/>
      </c>
      <c r="H91">
        <f>IF($A91="","",SUMIFS(Incentives!$H:$H,Incentives!$B:$B,$A91,Incentives!$N:$N,$B$2)+SUMIFS(Incentives!$H:$H,Incentives!$B:$B,$A91,Incentives!$N:$N,$C$2))</f>
        <v/>
      </c>
      <c r="I91">
        <f>IF($A91="","",COUNTIFS(Schedule!$G:$G,$A91,Schedule!$U:$U,$B$2,Schedule!$P:$P,"&gt;0")+COUNTIFS('TL Schedule'!$C:$C,$A91,'TL Schedule'!$K:$K,$B$2,'TL Schedule'!$J:$J,"&gt;0")+COUNTIFS(Schedule!$G:$G,$A91,Schedule!$U:$U,$C$2,Schedule!$P:$P,"&gt;0")+COUNTIFS('TL Schedule'!$C:$C,$A91,'TL Schedule'!$K:$K,$C$2,'TL Schedule'!$J:$J,"&gt;0"))</f>
        <v/>
      </c>
      <c r="J91">
        <f>IF($A91="","",IFERROR(TEXTJOIN(", ",TRUE,UNIQUE(FILTER(Schedule!$D$2:$D50000,Schedule!$G$2:$G50000=$A91,Schedule!$P$2:$P50000&gt;0,((Schedule!$U$2:$U50000=$B$2)+(Schedule!$U$2:$U50000=$C$2))))),""))</f>
        <v/>
      </c>
    </row>
    <row r="92">
      <c r="B92">
        <f>IF($A92="","",SUMIFS(Schedule!$P:$P,Schedule!$G:$G,$A92,Schedule!$U:$U,$B$2)+SUMIFS('TL Schedule'!$J:$J,'TL Schedule'!$C:$C,$A92,'TL Schedule'!$K:$K,$B$2))</f>
        <v/>
      </c>
      <c r="C92">
        <f>IF($A92="","",SUMIFS(Schedule!$P:$P,Schedule!$G:$G,$A92,Schedule!$U:$U,$C$2)+SUMIFS('TL Schedule'!$J:$J,'TL Schedule'!$C:$C,$A92,'TL Schedule'!$K:$K,$C$2))</f>
        <v/>
      </c>
      <c r="D92">
        <f>IF($A92="","",B92+C92)</f>
        <v/>
      </c>
      <c r="E92">
        <f>IF($A92="","",SUMIFS(Overtime!$H:$H,Overtime!$B:$B,$A92,Overtime!$N:$N,$B$2)+SUMIFS(Overtime!$H:$H,Overtime!$B:$B,$A92,Overtime!$N:$N,$C$2))</f>
        <v/>
      </c>
      <c r="F92">
        <f>IF($A92="","",SUMIFS('Death Penalty'!$E:$E,'Death Penalty'!$B:$B,$A92,'Death Penalty'!$L:$L,$B$2)+SUMIFS('Death Penalty'!$E:$E,'Death Penalty'!$B:$B,$A92,'Death Penalty'!$L:$L,$C$2))</f>
        <v/>
      </c>
      <c r="G92">
        <f>IF($A92="","",D92+E92-F92)</f>
        <v/>
      </c>
      <c r="H92">
        <f>IF($A92="","",SUMIFS(Incentives!$H:$H,Incentives!$B:$B,$A92,Incentives!$N:$N,$B$2)+SUMIFS(Incentives!$H:$H,Incentives!$B:$B,$A92,Incentives!$N:$N,$C$2))</f>
        <v/>
      </c>
      <c r="I92">
        <f>IF($A92="","",COUNTIFS(Schedule!$G:$G,$A92,Schedule!$U:$U,$B$2,Schedule!$P:$P,"&gt;0")+COUNTIFS('TL Schedule'!$C:$C,$A92,'TL Schedule'!$K:$K,$B$2,'TL Schedule'!$J:$J,"&gt;0")+COUNTIFS(Schedule!$G:$G,$A92,Schedule!$U:$U,$C$2,Schedule!$P:$P,"&gt;0")+COUNTIFS('TL Schedule'!$C:$C,$A92,'TL Schedule'!$K:$K,$C$2,'TL Schedule'!$J:$J,"&gt;0"))</f>
        <v/>
      </c>
      <c r="J92">
        <f>IF($A92="","",IFERROR(TEXTJOIN(", ",TRUE,UNIQUE(FILTER(Schedule!$D$2:$D50000,Schedule!$G$2:$G50000=$A92,Schedule!$P$2:$P50000&gt;0,((Schedule!$U$2:$U50000=$B$2)+(Schedule!$U$2:$U50000=$C$2))))),""))</f>
        <v/>
      </c>
    </row>
    <row r="93">
      <c r="B93">
        <f>IF($A93="","",SUMIFS(Schedule!$P:$P,Schedule!$G:$G,$A93,Schedule!$U:$U,$B$2)+SUMIFS('TL Schedule'!$J:$J,'TL Schedule'!$C:$C,$A93,'TL Schedule'!$K:$K,$B$2))</f>
        <v/>
      </c>
      <c r="C93">
        <f>IF($A93="","",SUMIFS(Schedule!$P:$P,Schedule!$G:$G,$A93,Schedule!$U:$U,$C$2)+SUMIFS('TL Schedule'!$J:$J,'TL Schedule'!$C:$C,$A93,'TL Schedule'!$K:$K,$C$2))</f>
        <v/>
      </c>
      <c r="D93">
        <f>IF($A93="","",B93+C93)</f>
        <v/>
      </c>
      <c r="E93">
        <f>IF($A93="","",SUMIFS(Overtime!$H:$H,Overtime!$B:$B,$A93,Overtime!$N:$N,$B$2)+SUMIFS(Overtime!$H:$H,Overtime!$B:$B,$A93,Overtime!$N:$N,$C$2))</f>
        <v/>
      </c>
      <c r="F93">
        <f>IF($A93="","",SUMIFS('Death Penalty'!$E:$E,'Death Penalty'!$B:$B,$A93,'Death Penalty'!$L:$L,$B$2)+SUMIFS('Death Penalty'!$E:$E,'Death Penalty'!$B:$B,$A93,'Death Penalty'!$L:$L,$C$2))</f>
        <v/>
      </c>
      <c r="G93">
        <f>IF($A93="","",D93+E93-F93)</f>
        <v/>
      </c>
      <c r="H93">
        <f>IF($A93="","",SUMIFS(Incentives!$H:$H,Incentives!$B:$B,$A93,Incentives!$N:$N,$B$2)+SUMIFS(Incentives!$H:$H,Incentives!$B:$B,$A93,Incentives!$N:$N,$C$2))</f>
        <v/>
      </c>
      <c r="I93">
        <f>IF($A93="","",COUNTIFS(Schedule!$G:$G,$A93,Schedule!$U:$U,$B$2,Schedule!$P:$P,"&gt;0")+COUNTIFS('TL Schedule'!$C:$C,$A93,'TL Schedule'!$K:$K,$B$2,'TL Schedule'!$J:$J,"&gt;0")+COUNTIFS(Schedule!$G:$G,$A93,Schedule!$U:$U,$C$2,Schedule!$P:$P,"&gt;0")+COUNTIFS('TL Schedule'!$C:$C,$A93,'TL Schedule'!$K:$K,$C$2,'TL Schedule'!$J:$J,"&gt;0"))</f>
        <v/>
      </c>
      <c r="J93">
        <f>IF($A93="","",IFERROR(TEXTJOIN(", ",TRUE,UNIQUE(FILTER(Schedule!$D$2:$D50000,Schedule!$G$2:$G50000=$A93,Schedule!$P$2:$P50000&gt;0,((Schedule!$U$2:$U50000=$B$2)+(Schedule!$U$2:$U50000=$C$2))))),""))</f>
        <v/>
      </c>
    </row>
    <row r="94">
      <c r="B94">
        <f>IF($A94="","",SUMIFS(Schedule!$P:$P,Schedule!$G:$G,$A94,Schedule!$U:$U,$B$2)+SUMIFS('TL Schedule'!$J:$J,'TL Schedule'!$C:$C,$A94,'TL Schedule'!$K:$K,$B$2))</f>
        <v/>
      </c>
      <c r="C94">
        <f>IF($A94="","",SUMIFS(Schedule!$P:$P,Schedule!$G:$G,$A94,Schedule!$U:$U,$C$2)+SUMIFS('TL Schedule'!$J:$J,'TL Schedule'!$C:$C,$A94,'TL Schedule'!$K:$K,$C$2))</f>
        <v/>
      </c>
      <c r="D94">
        <f>IF($A94="","",B94+C94)</f>
        <v/>
      </c>
      <c r="E94">
        <f>IF($A94="","",SUMIFS(Overtime!$H:$H,Overtime!$B:$B,$A94,Overtime!$N:$N,$B$2)+SUMIFS(Overtime!$H:$H,Overtime!$B:$B,$A94,Overtime!$N:$N,$C$2))</f>
        <v/>
      </c>
      <c r="F94">
        <f>IF($A94="","",SUMIFS('Death Penalty'!$E:$E,'Death Penalty'!$B:$B,$A94,'Death Penalty'!$L:$L,$B$2)+SUMIFS('Death Penalty'!$E:$E,'Death Penalty'!$B:$B,$A94,'Death Penalty'!$L:$L,$C$2))</f>
        <v/>
      </c>
      <c r="G94">
        <f>IF($A94="","",D94+E94-F94)</f>
        <v/>
      </c>
      <c r="H94">
        <f>IF($A94="","",SUMIFS(Incentives!$H:$H,Incentives!$B:$B,$A94,Incentives!$N:$N,$B$2)+SUMIFS(Incentives!$H:$H,Incentives!$B:$B,$A94,Incentives!$N:$N,$C$2))</f>
        <v/>
      </c>
      <c r="I94">
        <f>IF($A94="","",COUNTIFS(Schedule!$G:$G,$A94,Schedule!$U:$U,$B$2,Schedule!$P:$P,"&gt;0")+COUNTIFS('TL Schedule'!$C:$C,$A94,'TL Schedule'!$K:$K,$B$2,'TL Schedule'!$J:$J,"&gt;0")+COUNTIFS(Schedule!$G:$G,$A94,Schedule!$U:$U,$C$2,Schedule!$P:$P,"&gt;0")+COUNTIFS('TL Schedule'!$C:$C,$A94,'TL Schedule'!$K:$K,$C$2,'TL Schedule'!$J:$J,"&gt;0"))</f>
        <v/>
      </c>
      <c r="J94">
        <f>IF($A94="","",IFERROR(TEXTJOIN(", ",TRUE,UNIQUE(FILTER(Schedule!$D$2:$D50000,Schedule!$G$2:$G50000=$A94,Schedule!$P$2:$P50000&gt;0,((Schedule!$U$2:$U50000=$B$2)+(Schedule!$U$2:$U50000=$C$2))))),""))</f>
        <v/>
      </c>
    </row>
    <row r="95">
      <c r="B95">
        <f>IF($A95="","",SUMIFS(Schedule!$P:$P,Schedule!$G:$G,$A95,Schedule!$U:$U,$B$2)+SUMIFS('TL Schedule'!$J:$J,'TL Schedule'!$C:$C,$A95,'TL Schedule'!$K:$K,$B$2))</f>
        <v/>
      </c>
      <c r="C95">
        <f>IF($A95="","",SUMIFS(Schedule!$P:$P,Schedule!$G:$G,$A95,Schedule!$U:$U,$C$2)+SUMIFS('TL Schedule'!$J:$J,'TL Schedule'!$C:$C,$A95,'TL Schedule'!$K:$K,$C$2))</f>
        <v/>
      </c>
      <c r="D95">
        <f>IF($A95="","",B95+C95)</f>
        <v/>
      </c>
      <c r="E95">
        <f>IF($A95="","",SUMIFS(Overtime!$H:$H,Overtime!$B:$B,$A95,Overtime!$N:$N,$B$2)+SUMIFS(Overtime!$H:$H,Overtime!$B:$B,$A95,Overtime!$N:$N,$C$2))</f>
        <v/>
      </c>
      <c r="F95">
        <f>IF($A95="","",SUMIFS('Death Penalty'!$E:$E,'Death Penalty'!$B:$B,$A95,'Death Penalty'!$L:$L,$B$2)+SUMIFS('Death Penalty'!$E:$E,'Death Penalty'!$B:$B,$A95,'Death Penalty'!$L:$L,$C$2))</f>
        <v/>
      </c>
      <c r="G95">
        <f>IF($A95="","",D95+E95-F95)</f>
        <v/>
      </c>
      <c r="H95">
        <f>IF($A95="","",SUMIFS(Incentives!$H:$H,Incentives!$B:$B,$A95,Incentives!$N:$N,$B$2)+SUMIFS(Incentives!$H:$H,Incentives!$B:$B,$A95,Incentives!$N:$N,$C$2))</f>
        <v/>
      </c>
      <c r="I95">
        <f>IF($A95="","",COUNTIFS(Schedule!$G:$G,$A95,Schedule!$U:$U,$B$2,Schedule!$P:$P,"&gt;0")+COUNTIFS('TL Schedule'!$C:$C,$A95,'TL Schedule'!$K:$K,$B$2,'TL Schedule'!$J:$J,"&gt;0")+COUNTIFS(Schedule!$G:$G,$A95,Schedule!$U:$U,$C$2,Schedule!$P:$P,"&gt;0")+COUNTIFS('TL Schedule'!$C:$C,$A95,'TL Schedule'!$K:$K,$C$2,'TL Schedule'!$J:$J,"&gt;0"))</f>
        <v/>
      </c>
      <c r="J95">
        <f>IF($A95="","",IFERROR(TEXTJOIN(", ",TRUE,UNIQUE(FILTER(Schedule!$D$2:$D50000,Schedule!$G$2:$G50000=$A95,Schedule!$P$2:$P50000&gt;0,((Schedule!$U$2:$U50000=$B$2)+(Schedule!$U$2:$U50000=$C$2))))),""))</f>
        <v/>
      </c>
    </row>
    <row r="96">
      <c r="B96">
        <f>IF($A96="","",SUMIFS(Schedule!$P:$P,Schedule!$G:$G,$A96,Schedule!$U:$U,$B$2)+SUMIFS('TL Schedule'!$J:$J,'TL Schedule'!$C:$C,$A96,'TL Schedule'!$K:$K,$B$2))</f>
        <v/>
      </c>
      <c r="C96">
        <f>IF($A96="","",SUMIFS(Schedule!$P:$P,Schedule!$G:$G,$A96,Schedule!$U:$U,$C$2)+SUMIFS('TL Schedule'!$J:$J,'TL Schedule'!$C:$C,$A96,'TL Schedule'!$K:$K,$C$2))</f>
        <v/>
      </c>
      <c r="D96">
        <f>IF($A96="","",B96+C96)</f>
        <v/>
      </c>
      <c r="E96">
        <f>IF($A96="","",SUMIFS(Overtime!$H:$H,Overtime!$B:$B,$A96,Overtime!$N:$N,$B$2)+SUMIFS(Overtime!$H:$H,Overtime!$B:$B,$A96,Overtime!$N:$N,$C$2))</f>
        <v/>
      </c>
      <c r="F96">
        <f>IF($A96="","",SUMIFS('Death Penalty'!$E:$E,'Death Penalty'!$B:$B,$A96,'Death Penalty'!$L:$L,$B$2)+SUMIFS('Death Penalty'!$E:$E,'Death Penalty'!$B:$B,$A96,'Death Penalty'!$L:$L,$C$2))</f>
        <v/>
      </c>
      <c r="G96">
        <f>IF($A96="","",D96+E96-F96)</f>
        <v/>
      </c>
      <c r="H96">
        <f>IF($A96="","",SUMIFS(Incentives!$H:$H,Incentives!$B:$B,$A96,Incentives!$N:$N,$B$2)+SUMIFS(Incentives!$H:$H,Incentives!$B:$B,$A96,Incentives!$N:$N,$C$2))</f>
        <v/>
      </c>
      <c r="I96">
        <f>IF($A96="","",COUNTIFS(Schedule!$G:$G,$A96,Schedule!$U:$U,$B$2,Schedule!$P:$P,"&gt;0")+COUNTIFS('TL Schedule'!$C:$C,$A96,'TL Schedule'!$K:$K,$B$2,'TL Schedule'!$J:$J,"&gt;0")+COUNTIFS(Schedule!$G:$G,$A96,Schedule!$U:$U,$C$2,Schedule!$P:$P,"&gt;0")+COUNTIFS('TL Schedule'!$C:$C,$A96,'TL Schedule'!$K:$K,$C$2,'TL Schedule'!$J:$J,"&gt;0"))</f>
        <v/>
      </c>
      <c r="J96">
        <f>IF($A96="","",IFERROR(TEXTJOIN(", ",TRUE,UNIQUE(FILTER(Schedule!$D$2:$D50000,Schedule!$G$2:$G50000=$A96,Schedule!$P$2:$P50000&gt;0,((Schedule!$U$2:$U50000=$B$2)+(Schedule!$U$2:$U50000=$C$2))))),""))</f>
        <v/>
      </c>
    </row>
    <row r="97">
      <c r="B97">
        <f>IF($A97="","",SUMIFS(Schedule!$P:$P,Schedule!$G:$G,$A97,Schedule!$U:$U,$B$2)+SUMIFS('TL Schedule'!$J:$J,'TL Schedule'!$C:$C,$A97,'TL Schedule'!$K:$K,$B$2))</f>
        <v/>
      </c>
      <c r="C97">
        <f>IF($A97="","",SUMIFS(Schedule!$P:$P,Schedule!$G:$G,$A97,Schedule!$U:$U,$C$2)+SUMIFS('TL Schedule'!$J:$J,'TL Schedule'!$C:$C,$A97,'TL Schedule'!$K:$K,$C$2))</f>
        <v/>
      </c>
      <c r="D97">
        <f>IF($A97="","",B97+C97)</f>
        <v/>
      </c>
      <c r="E97">
        <f>IF($A97="","",SUMIFS(Overtime!$H:$H,Overtime!$B:$B,$A97,Overtime!$N:$N,$B$2)+SUMIFS(Overtime!$H:$H,Overtime!$B:$B,$A97,Overtime!$N:$N,$C$2))</f>
        <v/>
      </c>
      <c r="F97">
        <f>IF($A97="","",SUMIFS('Death Penalty'!$E:$E,'Death Penalty'!$B:$B,$A97,'Death Penalty'!$L:$L,$B$2)+SUMIFS('Death Penalty'!$E:$E,'Death Penalty'!$B:$B,$A97,'Death Penalty'!$L:$L,$C$2))</f>
        <v/>
      </c>
      <c r="G97">
        <f>IF($A97="","",D97+E97-F97)</f>
        <v/>
      </c>
      <c r="H97">
        <f>IF($A97="","",SUMIFS(Incentives!$H:$H,Incentives!$B:$B,$A97,Incentives!$N:$N,$B$2)+SUMIFS(Incentives!$H:$H,Incentives!$B:$B,$A97,Incentives!$N:$N,$C$2))</f>
        <v/>
      </c>
      <c r="I97">
        <f>IF($A97="","",COUNTIFS(Schedule!$G:$G,$A97,Schedule!$U:$U,$B$2,Schedule!$P:$P,"&gt;0")+COUNTIFS('TL Schedule'!$C:$C,$A97,'TL Schedule'!$K:$K,$B$2,'TL Schedule'!$J:$J,"&gt;0")+COUNTIFS(Schedule!$G:$G,$A97,Schedule!$U:$U,$C$2,Schedule!$P:$P,"&gt;0")+COUNTIFS('TL Schedule'!$C:$C,$A97,'TL Schedule'!$K:$K,$C$2,'TL Schedule'!$J:$J,"&gt;0"))</f>
        <v/>
      </c>
      <c r="J97">
        <f>IF($A97="","",IFERROR(TEXTJOIN(", ",TRUE,UNIQUE(FILTER(Schedule!$D$2:$D50000,Schedule!$G$2:$G50000=$A97,Schedule!$P$2:$P50000&gt;0,((Schedule!$U$2:$U50000=$B$2)+(Schedule!$U$2:$U50000=$C$2))))),""))</f>
        <v/>
      </c>
    </row>
    <row r="98">
      <c r="B98">
        <f>IF($A98="","",SUMIFS(Schedule!$P:$P,Schedule!$G:$G,$A98,Schedule!$U:$U,$B$2)+SUMIFS('TL Schedule'!$J:$J,'TL Schedule'!$C:$C,$A98,'TL Schedule'!$K:$K,$B$2))</f>
        <v/>
      </c>
      <c r="C98">
        <f>IF($A98="","",SUMIFS(Schedule!$P:$P,Schedule!$G:$G,$A98,Schedule!$U:$U,$C$2)+SUMIFS('TL Schedule'!$J:$J,'TL Schedule'!$C:$C,$A98,'TL Schedule'!$K:$K,$C$2))</f>
        <v/>
      </c>
      <c r="D98">
        <f>IF($A98="","",B98+C98)</f>
        <v/>
      </c>
      <c r="E98">
        <f>IF($A98="","",SUMIFS(Overtime!$H:$H,Overtime!$B:$B,$A98,Overtime!$N:$N,$B$2)+SUMIFS(Overtime!$H:$H,Overtime!$B:$B,$A98,Overtime!$N:$N,$C$2))</f>
        <v/>
      </c>
      <c r="F98">
        <f>IF($A98="","",SUMIFS('Death Penalty'!$E:$E,'Death Penalty'!$B:$B,$A98,'Death Penalty'!$L:$L,$B$2)+SUMIFS('Death Penalty'!$E:$E,'Death Penalty'!$B:$B,$A98,'Death Penalty'!$L:$L,$C$2))</f>
        <v/>
      </c>
      <c r="G98">
        <f>IF($A98="","",D98+E98-F98)</f>
        <v/>
      </c>
      <c r="H98">
        <f>IF($A98="","",SUMIFS(Incentives!$H:$H,Incentives!$B:$B,$A98,Incentives!$N:$N,$B$2)+SUMIFS(Incentives!$H:$H,Incentives!$B:$B,$A98,Incentives!$N:$N,$C$2))</f>
        <v/>
      </c>
      <c r="I98">
        <f>IF($A98="","",COUNTIFS(Schedule!$G:$G,$A98,Schedule!$U:$U,$B$2,Schedule!$P:$P,"&gt;0")+COUNTIFS('TL Schedule'!$C:$C,$A98,'TL Schedule'!$K:$K,$B$2,'TL Schedule'!$J:$J,"&gt;0")+COUNTIFS(Schedule!$G:$G,$A98,Schedule!$U:$U,$C$2,Schedule!$P:$P,"&gt;0")+COUNTIFS('TL Schedule'!$C:$C,$A98,'TL Schedule'!$K:$K,$C$2,'TL Schedule'!$J:$J,"&gt;0"))</f>
        <v/>
      </c>
      <c r="J98">
        <f>IF($A98="","",IFERROR(TEXTJOIN(", ",TRUE,UNIQUE(FILTER(Schedule!$D$2:$D50000,Schedule!$G$2:$G50000=$A98,Schedule!$P$2:$P50000&gt;0,((Schedule!$U$2:$U50000=$B$2)+(Schedule!$U$2:$U50000=$C$2))))),""))</f>
        <v/>
      </c>
    </row>
    <row r="99">
      <c r="B99">
        <f>IF($A99="","",SUMIFS(Schedule!$P:$P,Schedule!$G:$G,$A99,Schedule!$U:$U,$B$2)+SUMIFS('TL Schedule'!$J:$J,'TL Schedule'!$C:$C,$A99,'TL Schedule'!$K:$K,$B$2))</f>
        <v/>
      </c>
      <c r="C99">
        <f>IF($A99="","",SUMIFS(Schedule!$P:$P,Schedule!$G:$G,$A99,Schedule!$U:$U,$C$2)+SUMIFS('TL Schedule'!$J:$J,'TL Schedule'!$C:$C,$A99,'TL Schedule'!$K:$K,$C$2))</f>
        <v/>
      </c>
      <c r="D99">
        <f>IF($A99="","",B99+C99)</f>
        <v/>
      </c>
      <c r="E99">
        <f>IF($A99="","",SUMIFS(Overtime!$H:$H,Overtime!$B:$B,$A99,Overtime!$N:$N,$B$2)+SUMIFS(Overtime!$H:$H,Overtime!$B:$B,$A99,Overtime!$N:$N,$C$2))</f>
        <v/>
      </c>
      <c r="F99">
        <f>IF($A99="","",SUMIFS('Death Penalty'!$E:$E,'Death Penalty'!$B:$B,$A99,'Death Penalty'!$L:$L,$B$2)+SUMIFS('Death Penalty'!$E:$E,'Death Penalty'!$B:$B,$A99,'Death Penalty'!$L:$L,$C$2))</f>
        <v/>
      </c>
      <c r="G99">
        <f>IF($A99="","",D99+E99-F99)</f>
        <v/>
      </c>
      <c r="H99">
        <f>IF($A99="","",SUMIFS(Incentives!$H:$H,Incentives!$B:$B,$A99,Incentives!$N:$N,$B$2)+SUMIFS(Incentives!$H:$H,Incentives!$B:$B,$A99,Incentives!$N:$N,$C$2))</f>
        <v/>
      </c>
      <c r="I99">
        <f>IF($A99="","",COUNTIFS(Schedule!$G:$G,$A99,Schedule!$U:$U,$B$2,Schedule!$P:$P,"&gt;0")+COUNTIFS('TL Schedule'!$C:$C,$A99,'TL Schedule'!$K:$K,$B$2,'TL Schedule'!$J:$J,"&gt;0")+COUNTIFS(Schedule!$G:$G,$A99,Schedule!$U:$U,$C$2,Schedule!$P:$P,"&gt;0")+COUNTIFS('TL Schedule'!$C:$C,$A99,'TL Schedule'!$K:$K,$C$2,'TL Schedule'!$J:$J,"&gt;0"))</f>
        <v/>
      </c>
      <c r="J99">
        <f>IF($A99="","",IFERROR(TEXTJOIN(", ",TRUE,UNIQUE(FILTER(Schedule!$D$2:$D50000,Schedule!$G$2:$G50000=$A99,Schedule!$P$2:$P50000&gt;0,((Schedule!$U$2:$U50000=$B$2)+(Schedule!$U$2:$U50000=$C$2))))),""))</f>
        <v/>
      </c>
    </row>
    <row r="100">
      <c r="B100">
        <f>IF($A100="","",SUMIFS(Schedule!$P:$P,Schedule!$G:$G,$A100,Schedule!$U:$U,$B$2)+SUMIFS('TL Schedule'!$J:$J,'TL Schedule'!$C:$C,$A100,'TL Schedule'!$K:$K,$B$2))</f>
        <v/>
      </c>
      <c r="C100">
        <f>IF($A100="","",SUMIFS(Schedule!$P:$P,Schedule!$G:$G,$A100,Schedule!$U:$U,$C$2)+SUMIFS('TL Schedule'!$J:$J,'TL Schedule'!$C:$C,$A100,'TL Schedule'!$K:$K,$C$2))</f>
        <v/>
      </c>
      <c r="D100">
        <f>IF($A100="","",B100+C100)</f>
        <v/>
      </c>
      <c r="E100">
        <f>IF($A100="","",SUMIFS(Overtime!$H:$H,Overtime!$B:$B,$A100,Overtime!$N:$N,$B$2)+SUMIFS(Overtime!$H:$H,Overtime!$B:$B,$A100,Overtime!$N:$N,$C$2))</f>
        <v/>
      </c>
      <c r="F100">
        <f>IF($A100="","",SUMIFS('Death Penalty'!$E:$E,'Death Penalty'!$B:$B,$A100,'Death Penalty'!$L:$L,$B$2)+SUMIFS('Death Penalty'!$E:$E,'Death Penalty'!$B:$B,$A100,'Death Penalty'!$L:$L,$C$2))</f>
        <v/>
      </c>
      <c r="G100">
        <f>IF($A100="","",D100+E100-F100)</f>
        <v/>
      </c>
      <c r="H100">
        <f>IF($A100="","",SUMIFS(Incentives!$H:$H,Incentives!$B:$B,$A100,Incentives!$N:$N,$B$2)+SUMIFS(Incentives!$H:$H,Incentives!$B:$B,$A100,Incentives!$N:$N,$C$2))</f>
        <v/>
      </c>
      <c r="I100">
        <f>IF($A100="","",COUNTIFS(Schedule!$G:$G,$A100,Schedule!$U:$U,$B$2,Schedule!$P:$P,"&gt;0")+COUNTIFS('TL Schedule'!$C:$C,$A100,'TL Schedule'!$K:$K,$B$2,'TL Schedule'!$J:$J,"&gt;0")+COUNTIFS(Schedule!$G:$G,$A100,Schedule!$U:$U,$C$2,Schedule!$P:$P,"&gt;0")+COUNTIFS('TL Schedule'!$C:$C,$A100,'TL Schedule'!$K:$K,$C$2,'TL Schedule'!$J:$J,"&gt;0"))</f>
        <v/>
      </c>
      <c r="J100">
        <f>IF($A100="","",IFERROR(TEXTJOIN(", ",TRUE,UNIQUE(FILTER(Schedule!$D$2:$D50000,Schedule!$G$2:$G50000=$A100,Schedule!$P$2:$P50000&gt;0,((Schedule!$U$2:$U50000=$B$2)+(Schedule!$U$2:$U50000=$C$2))))),""))</f>
        <v/>
      </c>
    </row>
    <row r="101">
      <c r="B101">
        <f>IF($A101="","",SUMIFS(Schedule!$P:$P,Schedule!$G:$G,$A101,Schedule!$U:$U,$B$2)+SUMIFS('TL Schedule'!$J:$J,'TL Schedule'!$C:$C,$A101,'TL Schedule'!$K:$K,$B$2))</f>
        <v/>
      </c>
      <c r="C101">
        <f>IF($A101="","",SUMIFS(Schedule!$P:$P,Schedule!$G:$G,$A101,Schedule!$U:$U,$C$2)+SUMIFS('TL Schedule'!$J:$J,'TL Schedule'!$C:$C,$A101,'TL Schedule'!$K:$K,$C$2))</f>
        <v/>
      </c>
      <c r="D101">
        <f>IF($A101="","",B101+C101)</f>
        <v/>
      </c>
      <c r="E101">
        <f>IF($A101="","",SUMIFS(Overtime!$H:$H,Overtime!$B:$B,$A101,Overtime!$N:$N,$B$2)+SUMIFS(Overtime!$H:$H,Overtime!$B:$B,$A101,Overtime!$N:$N,$C$2))</f>
        <v/>
      </c>
      <c r="F101">
        <f>IF($A101="","",SUMIFS('Death Penalty'!$E:$E,'Death Penalty'!$B:$B,$A101,'Death Penalty'!$L:$L,$B$2)+SUMIFS('Death Penalty'!$E:$E,'Death Penalty'!$B:$B,$A101,'Death Penalty'!$L:$L,$C$2))</f>
        <v/>
      </c>
      <c r="G101">
        <f>IF($A101="","",D101+E101-F101)</f>
        <v/>
      </c>
      <c r="H101">
        <f>IF($A101="","",SUMIFS(Incentives!$H:$H,Incentives!$B:$B,$A101,Incentives!$N:$N,$B$2)+SUMIFS(Incentives!$H:$H,Incentives!$B:$B,$A101,Incentives!$N:$N,$C$2))</f>
        <v/>
      </c>
      <c r="I101">
        <f>IF($A101="","",COUNTIFS(Schedule!$G:$G,$A101,Schedule!$U:$U,$B$2,Schedule!$P:$P,"&gt;0")+COUNTIFS('TL Schedule'!$C:$C,$A101,'TL Schedule'!$K:$K,$B$2,'TL Schedule'!$J:$J,"&gt;0")+COUNTIFS(Schedule!$G:$G,$A101,Schedule!$U:$U,$C$2,Schedule!$P:$P,"&gt;0")+COUNTIFS('TL Schedule'!$C:$C,$A101,'TL Schedule'!$K:$K,$C$2,'TL Schedule'!$J:$J,"&gt;0"))</f>
        <v/>
      </c>
      <c r="J101">
        <f>IF($A101="","",IFERROR(TEXTJOIN(", ",TRUE,UNIQUE(FILTER(Schedule!$D$2:$D50000,Schedule!$G$2:$G50000=$A101,Schedule!$P$2:$P50000&gt;0,((Schedule!$U$2:$U50000=$B$2)+(Schedule!$U$2:$U50000=$C$2))))),""))</f>
        <v/>
      </c>
    </row>
    <row r="102">
      <c r="B102">
        <f>IF($A102="","",SUMIFS(Schedule!$P:$P,Schedule!$G:$G,$A102,Schedule!$U:$U,$B$2)+SUMIFS('TL Schedule'!$J:$J,'TL Schedule'!$C:$C,$A102,'TL Schedule'!$K:$K,$B$2))</f>
        <v/>
      </c>
      <c r="C102">
        <f>IF($A102="","",SUMIFS(Schedule!$P:$P,Schedule!$G:$G,$A102,Schedule!$U:$U,$C$2)+SUMIFS('TL Schedule'!$J:$J,'TL Schedule'!$C:$C,$A102,'TL Schedule'!$K:$K,$C$2))</f>
        <v/>
      </c>
      <c r="D102">
        <f>IF($A102="","",B102+C102)</f>
        <v/>
      </c>
      <c r="E102">
        <f>IF($A102="","",SUMIFS(Overtime!$H:$H,Overtime!$B:$B,$A102,Overtime!$N:$N,$B$2)+SUMIFS(Overtime!$H:$H,Overtime!$B:$B,$A102,Overtime!$N:$N,$C$2))</f>
        <v/>
      </c>
      <c r="F102">
        <f>IF($A102="","",SUMIFS('Death Penalty'!$E:$E,'Death Penalty'!$B:$B,$A102,'Death Penalty'!$L:$L,$B$2)+SUMIFS('Death Penalty'!$E:$E,'Death Penalty'!$B:$B,$A102,'Death Penalty'!$L:$L,$C$2))</f>
        <v/>
      </c>
      <c r="G102">
        <f>IF($A102="","",D102+E102-F102)</f>
        <v/>
      </c>
      <c r="H102">
        <f>IF($A102="","",SUMIFS(Incentives!$H:$H,Incentives!$B:$B,$A102,Incentives!$N:$N,$B$2)+SUMIFS(Incentives!$H:$H,Incentives!$B:$B,$A102,Incentives!$N:$N,$C$2))</f>
        <v/>
      </c>
      <c r="I102">
        <f>IF($A102="","",COUNTIFS(Schedule!$G:$G,$A102,Schedule!$U:$U,$B$2,Schedule!$P:$P,"&gt;0")+COUNTIFS('TL Schedule'!$C:$C,$A102,'TL Schedule'!$K:$K,$B$2,'TL Schedule'!$J:$J,"&gt;0")+COUNTIFS(Schedule!$G:$G,$A102,Schedule!$U:$U,$C$2,Schedule!$P:$P,"&gt;0")+COUNTIFS('TL Schedule'!$C:$C,$A102,'TL Schedule'!$K:$K,$C$2,'TL Schedule'!$J:$J,"&gt;0"))</f>
        <v/>
      </c>
      <c r="J102">
        <f>IF($A102="","",IFERROR(TEXTJOIN(", ",TRUE,UNIQUE(FILTER(Schedule!$D$2:$D50000,Schedule!$G$2:$G50000=$A102,Schedule!$P$2:$P50000&gt;0,((Schedule!$U$2:$U50000=$B$2)+(Schedule!$U$2:$U50000=$C$2))))),""))</f>
        <v/>
      </c>
    </row>
    <row r="103">
      <c r="B103">
        <f>IF($A103="","",SUMIFS(Schedule!$P:$P,Schedule!$G:$G,$A103,Schedule!$U:$U,$B$2)+SUMIFS('TL Schedule'!$J:$J,'TL Schedule'!$C:$C,$A103,'TL Schedule'!$K:$K,$B$2))</f>
        <v/>
      </c>
      <c r="C103">
        <f>IF($A103="","",SUMIFS(Schedule!$P:$P,Schedule!$G:$G,$A103,Schedule!$U:$U,$C$2)+SUMIFS('TL Schedule'!$J:$J,'TL Schedule'!$C:$C,$A103,'TL Schedule'!$K:$K,$C$2))</f>
        <v/>
      </c>
      <c r="D103">
        <f>IF($A103="","",B103+C103)</f>
        <v/>
      </c>
      <c r="E103">
        <f>IF($A103="","",SUMIFS(Overtime!$H:$H,Overtime!$B:$B,$A103,Overtime!$N:$N,$B$2)+SUMIFS(Overtime!$H:$H,Overtime!$B:$B,$A103,Overtime!$N:$N,$C$2))</f>
        <v/>
      </c>
      <c r="F103">
        <f>IF($A103="","",SUMIFS('Death Penalty'!$E:$E,'Death Penalty'!$B:$B,$A103,'Death Penalty'!$L:$L,$B$2)+SUMIFS('Death Penalty'!$E:$E,'Death Penalty'!$B:$B,$A103,'Death Penalty'!$L:$L,$C$2))</f>
        <v/>
      </c>
      <c r="G103">
        <f>IF($A103="","",D103+E103-F103)</f>
        <v/>
      </c>
      <c r="H103">
        <f>IF($A103="","",SUMIFS(Incentives!$H:$H,Incentives!$B:$B,$A103,Incentives!$N:$N,$B$2)+SUMIFS(Incentives!$H:$H,Incentives!$B:$B,$A103,Incentives!$N:$N,$C$2))</f>
        <v/>
      </c>
      <c r="I103">
        <f>IF($A103="","",COUNTIFS(Schedule!$G:$G,$A103,Schedule!$U:$U,$B$2,Schedule!$P:$P,"&gt;0")+COUNTIFS('TL Schedule'!$C:$C,$A103,'TL Schedule'!$K:$K,$B$2,'TL Schedule'!$J:$J,"&gt;0")+COUNTIFS(Schedule!$G:$G,$A103,Schedule!$U:$U,$C$2,Schedule!$P:$P,"&gt;0")+COUNTIFS('TL Schedule'!$C:$C,$A103,'TL Schedule'!$K:$K,$C$2,'TL Schedule'!$J:$J,"&gt;0"))</f>
        <v/>
      </c>
      <c r="J103">
        <f>IF($A103="","",IFERROR(TEXTJOIN(", ",TRUE,UNIQUE(FILTER(Schedule!$D$2:$D50000,Schedule!$G$2:$G50000=$A103,Schedule!$P$2:$P50000&gt;0,((Schedule!$U$2:$U50000=$B$2)+(Schedule!$U$2:$U50000=$C$2))))),""))</f>
        <v/>
      </c>
    </row>
    <row r="104">
      <c r="B104">
        <f>IF($A104="","",SUMIFS(Schedule!$P:$P,Schedule!$G:$G,$A104,Schedule!$U:$U,$B$2)+SUMIFS('TL Schedule'!$J:$J,'TL Schedule'!$C:$C,$A104,'TL Schedule'!$K:$K,$B$2))</f>
        <v/>
      </c>
      <c r="C104">
        <f>IF($A104="","",SUMIFS(Schedule!$P:$P,Schedule!$G:$G,$A104,Schedule!$U:$U,$C$2)+SUMIFS('TL Schedule'!$J:$J,'TL Schedule'!$C:$C,$A104,'TL Schedule'!$K:$K,$C$2))</f>
        <v/>
      </c>
      <c r="D104">
        <f>IF($A104="","",B104+C104)</f>
        <v/>
      </c>
      <c r="E104">
        <f>IF($A104="","",SUMIFS(Overtime!$H:$H,Overtime!$B:$B,$A104,Overtime!$N:$N,$B$2)+SUMIFS(Overtime!$H:$H,Overtime!$B:$B,$A104,Overtime!$N:$N,$C$2))</f>
        <v/>
      </c>
      <c r="F104">
        <f>IF($A104="","",SUMIFS('Death Penalty'!$E:$E,'Death Penalty'!$B:$B,$A104,'Death Penalty'!$L:$L,$B$2)+SUMIFS('Death Penalty'!$E:$E,'Death Penalty'!$B:$B,$A104,'Death Penalty'!$L:$L,$C$2))</f>
        <v/>
      </c>
      <c r="G104">
        <f>IF($A104="","",D104+E104-F104)</f>
        <v/>
      </c>
      <c r="H104">
        <f>IF($A104="","",SUMIFS(Incentives!$H:$H,Incentives!$B:$B,$A104,Incentives!$N:$N,$B$2)+SUMIFS(Incentives!$H:$H,Incentives!$B:$B,$A104,Incentives!$N:$N,$C$2))</f>
        <v/>
      </c>
      <c r="I104">
        <f>IF($A104="","",COUNTIFS(Schedule!$G:$G,$A104,Schedule!$U:$U,$B$2,Schedule!$P:$P,"&gt;0")+COUNTIFS('TL Schedule'!$C:$C,$A104,'TL Schedule'!$K:$K,$B$2,'TL Schedule'!$J:$J,"&gt;0")+COUNTIFS(Schedule!$G:$G,$A104,Schedule!$U:$U,$C$2,Schedule!$P:$P,"&gt;0")+COUNTIFS('TL Schedule'!$C:$C,$A104,'TL Schedule'!$K:$K,$C$2,'TL Schedule'!$J:$J,"&gt;0"))</f>
        <v/>
      </c>
      <c r="J104">
        <f>IF($A104="","",IFERROR(TEXTJOIN(", ",TRUE,UNIQUE(FILTER(Schedule!$D$2:$D50000,Schedule!$G$2:$G50000=$A104,Schedule!$P$2:$P50000&gt;0,((Schedule!$U$2:$U50000=$B$2)+(Schedule!$U$2:$U50000=$C$2))))),""))</f>
        <v/>
      </c>
    </row>
    <row r="105">
      <c r="B105">
        <f>IF($A105="","",SUMIFS(Schedule!$P:$P,Schedule!$G:$G,$A105,Schedule!$U:$U,$B$2)+SUMIFS('TL Schedule'!$J:$J,'TL Schedule'!$C:$C,$A105,'TL Schedule'!$K:$K,$B$2))</f>
        <v/>
      </c>
      <c r="C105">
        <f>IF($A105="","",SUMIFS(Schedule!$P:$P,Schedule!$G:$G,$A105,Schedule!$U:$U,$C$2)+SUMIFS('TL Schedule'!$J:$J,'TL Schedule'!$C:$C,$A105,'TL Schedule'!$K:$K,$C$2))</f>
        <v/>
      </c>
      <c r="D105">
        <f>IF($A105="","",B105+C105)</f>
        <v/>
      </c>
      <c r="E105">
        <f>IF($A105="","",SUMIFS(Overtime!$H:$H,Overtime!$B:$B,$A105,Overtime!$N:$N,$B$2)+SUMIFS(Overtime!$H:$H,Overtime!$B:$B,$A105,Overtime!$N:$N,$C$2))</f>
        <v/>
      </c>
      <c r="F105">
        <f>IF($A105="","",SUMIFS('Death Penalty'!$E:$E,'Death Penalty'!$B:$B,$A105,'Death Penalty'!$L:$L,$B$2)+SUMIFS('Death Penalty'!$E:$E,'Death Penalty'!$B:$B,$A105,'Death Penalty'!$L:$L,$C$2))</f>
        <v/>
      </c>
      <c r="G105">
        <f>IF($A105="","",D105+E105-F105)</f>
        <v/>
      </c>
      <c r="H105">
        <f>IF($A105="","",SUMIFS(Incentives!$H:$H,Incentives!$B:$B,$A105,Incentives!$N:$N,$B$2)+SUMIFS(Incentives!$H:$H,Incentives!$B:$B,$A105,Incentives!$N:$N,$C$2))</f>
        <v/>
      </c>
      <c r="I105">
        <f>IF($A105="","",COUNTIFS(Schedule!$G:$G,$A105,Schedule!$U:$U,$B$2,Schedule!$P:$P,"&gt;0")+COUNTIFS('TL Schedule'!$C:$C,$A105,'TL Schedule'!$K:$K,$B$2,'TL Schedule'!$J:$J,"&gt;0")+COUNTIFS(Schedule!$G:$G,$A105,Schedule!$U:$U,$C$2,Schedule!$P:$P,"&gt;0")+COUNTIFS('TL Schedule'!$C:$C,$A105,'TL Schedule'!$K:$K,$C$2,'TL Schedule'!$J:$J,"&gt;0"))</f>
        <v/>
      </c>
      <c r="J105">
        <f>IF($A105="","",IFERROR(TEXTJOIN(", ",TRUE,UNIQUE(FILTER(Schedule!$D$2:$D50000,Schedule!$G$2:$G50000=$A105,Schedule!$P$2:$P50000&gt;0,((Schedule!$U$2:$U50000=$B$2)+(Schedule!$U$2:$U50000=$C$2))))),""))</f>
        <v/>
      </c>
    </row>
    <row r="106">
      <c r="B106">
        <f>IF($A106="","",SUMIFS(Schedule!$P:$P,Schedule!$G:$G,$A106,Schedule!$U:$U,$B$2)+SUMIFS('TL Schedule'!$J:$J,'TL Schedule'!$C:$C,$A106,'TL Schedule'!$K:$K,$B$2))</f>
        <v/>
      </c>
      <c r="C106">
        <f>IF($A106="","",SUMIFS(Schedule!$P:$P,Schedule!$G:$G,$A106,Schedule!$U:$U,$C$2)+SUMIFS('TL Schedule'!$J:$J,'TL Schedule'!$C:$C,$A106,'TL Schedule'!$K:$K,$C$2))</f>
        <v/>
      </c>
      <c r="D106">
        <f>IF($A106="","",B106+C106)</f>
        <v/>
      </c>
      <c r="E106">
        <f>IF($A106="","",SUMIFS(Overtime!$H:$H,Overtime!$B:$B,$A106,Overtime!$N:$N,$B$2)+SUMIFS(Overtime!$H:$H,Overtime!$B:$B,$A106,Overtime!$N:$N,$C$2))</f>
        <v/>
      </c>
      <c r="F106">
        <f>IF($A106="","",SUMIFS('Death Penalty'!$E:$E,'Death Penalty'!$B:$B,$A106,'Death Penalty'!$L:$L,$B$2)+SUMIFS('Death Penalty'!$E:$E,'Death Penalty'!$B:$B,$A106,'Death Penalty'!$L:$L,$C$2))</f>
        <v/>
      </c>
      <c r="G106">
        <f>IF($A106="","",D106+E106-F106)</f>
        <v/>
      </c>
      <c r="H106">
        <f>IF($A106="","",SUMIFS(Incentives!$H:$H,Incentives!$B:$B,$A106,Incentives!$N:$N,$B$2)+SUMIFS(Incentives!$H:$H,Incentives!$B:$B,$A106,Incentives!$N:$N,$C$2))</f>
        <v/>
      </c>
      <c r="I106">
        <f>IF($A106="","",COUNTIFS(Schedule!$G:$G,$A106,Schedule!$U:$U,$B$2,Schedule!$P:$P,"&gt;0")+COUNTIFS('TL Schedule'!$C:$C,$A106,'TL Schedule'!$K:$K,$B$2,'TL Schedule'!$J:$J,"&gt;0")+COUNTIFS(Schedule!$G:$G,$A106,Schedule!$U:$U,$C$2,Schedule!$P:$P,"&gt;0")+COUNTIFS('TL Schedule'!$C:$C,$A106,'TL Schedule'!$K:$K,$C$2,'TL Schedule'!$J:$J,"&gt;0"))</f>
        <v/>
      </c>
      <c r="J106">
        <f>IF($A106="","",IFERROR(TEXTJOIN(", ",TRUE,UNIQUE(FILTER(Schedule!$D$2:$D50000,Schedule!$G$2:$G50000=$A106,Schedule!$P$2:$P50000&gt;0,((Schedule!$U$2:$U50000=$B$2)+(Schedule!$U$2:$U50000=$C$2))))),""))</f>
        <v/>
      </c>
    </row>
    <row r="107">
      <c r="B107">
        <f>IF($A107="","",SUMIFS(Schedule!$P:$P,Schedule!$G:$G,$A107,Schedule!$U:$U,$B$2)+SUMIFS('TL Schedule'!$J:$J,'TL Schedule'!$C:$C,$A107,'TL Schedule'!$K:$K,$B$2))</f>
        <v/>
      </c>
      <c r="C107">
        <f>IF($A107="","",SUMIFS(Schedule!$P:$P,Schedule!$G:$G,$A107,Schedule!$U:$U,$C$2)+SUMIFS('TL Schedule'!$J:$J,'TL Schedule'!$C:$C,$A107,'TL Schedule'!$K:$K,$C$2))</f>
        <v/>
      </c>
      <c r="D107">
        <f>IF($A107="","",B107+C107)</f>
        <v/>
      </c>
      <c r="E107">
        <f>IF($A107="","",SUMIFS(Overtime!$H:$H,Overtime!$B:$B,$A107,Overtime!$N:$N,$B$2)+SUMIFS(Overtime!$H:$H,Overtime!$B:$B,$A107,Overtime!$N:$N,$C$2))</f>
        <v/>
      </c>
      <c r="F107">
        <f>IF($A107="","",SUMIFS('Death Penalty'!$E:$E,'Death Penalty'!$B:$B,$A107,'Death Penalty'!$L:$L,$B$2)+SUMIFS('Death Penalty'!$E:$E,'Death Penalty'!$B:$B,$A107,'Death Penalty'!$L:$L,$C$2))</f>
        <v/>
      </c>
      <c r="G107">
        <f>IF($A107="","",D107+E107-F107)</f>
        <v/>
      </c>
      <c r="H107">
        <f>IF($A107="","",SUMIFS(Incentives!$H:$H,Incentives!$B:$B,$A107,Incentives!$N:$N,$B$2)+SUMIFS(Incentives!$H:$H,Incentives!$B:$B,$A107,Incentives!$N:$N,$C$2))</f>
        <v/>
      </c>
      <c r="I107">
        <f>IF($A107="","",COUNTIFS(Schedule!$G:$G,$A107,Schedule!$U:$U,$B$2,Schedule!$P:$P,"&gt;0")+COUNTIFS('TL Schedule'!$C:$C,$A107,'TL Schedule'!$K:$K,$B$2,'TL Schedule'!$J:$J,"&gt;0")+COUNTIFS(Schedule!$G:$G,$A107,Schedule!$U:$U,$C$2,Schedule!$P:$P,"&gt;0")+COUNTIFS('TL Schedule'!$C:$C,$A107,'TL Schedule'!$K:$K,$C$2,'TL Schedule'!$J:$J,"&gt;0"))</f>
        <v/>
      </c>
      <c r="J107">
        <f>IF($A107="","",IFERROR(TEXTJOIN(", ",TRUE,UNIQUE(FILTER(Schedule!$D$2:$D50000,Schedule!$G$2:$G50000=$A107,Schedule!$P$2:$P50000&gt;0,((Schedule!$U$2:$U50000=$B$2)+(Schedule!$U$2:$U50000=$C$2))))),""))</f>
        <v/>
      </c>
    </row>
    <row r="108">
      <c r="B108">
        <f>IF($A108="","",SUMIFS(Schedule!$P:$P,Schedule!$G:$G,$A108,Schedule!$U:$U,$B$2)+SUMIFS('TL Schedule'!$J:$J,'TL Schedule'!$C:$C,$A108,'TL Schedule'!$K:$K,$B$2))</f>
        <v/>
      </c>
      <c r="C108">
        <f>IF($A108="","",SUMIFS(Schedule!$P:$P,Schedule!$G:$G,$A108,Schedule!$U:$U,$C$2)+SUMIFS('TL Schedule'!$J:$J,'TL Schedule'!$C:$C,$A108,'TL Schedule'!$K:$K,$C$2))</f>
        <v/>
      </c>
      <c r="D108">
        <f>IF($A108="","",B108+C108)</f>
        <v/>
      </c>
      <c r="E108">
        <f>IF($A108="","",SUMIFS(Overtime!$H:$H,Overtime!$B:$B,$A108,Overtime!$N:$N,$B$2)+SUMIFS(Overtime!$H:$H,Overtime!$B:$B,$A108,Overtime!$N:$N,$C$2))</f>
        <v/>
      </c>
      <c r="F108">
        <f>IF($A108="","",SUMIFS('Death Penalty'!$E:$E,'Death Penalty'!$B:$B,$A108,'Death Penalty'!$L:$L,$B$2)+SUMIFS('Death Penalty'!$E:$E,'Death Penalty'!$B:$B,$A108,'Death Penalty'!$L:$L,$C$2))</f>
        <v/>
      </c>
      <c r="G108">
        <f>IF($A108="","",D108+E108-F108)</f>
        <v/>
      </c>
      <c r="H108">
        <f>IF($A108="","",SUMIFS(Incentives!$H:$H,Incentives!$B:$B,$A108,Incentives!$N:$N,$B$2)+SUMIFS(Incentives!$H:$H,Incentives!$B:$B,$A108,Incentives!$N:$N,$C$2))</f>
        <v/>
      </c>
      <c r="I108">
        <f>IF($A108="","",COUNTIFS(Schedule!$G:$G,$A108,Schedule!$U:$U,$B$2,Schedule!$P:$P,"&gt;0")+COUNTIFS('TL Schedule'!$C:$C,$A108,'TL Schedule'!$K:$K,$B$2,'TL Schedule'!$J:$J,"&gt;0")+COUNTIFS(Schedule!$G:$G,$A108,Schedule!$U:$U,$C$2,Schedule!$P:$P,"&gt;0")+COUNTIFS('TL Schedule'!$C:$C,$A108,'TL Schedule'!$K:$K,$C$2,'TL Schedule'!$J:$J,"&gt;0"))</f>
        <v/>
      </c>
      <c r="J108">
        <f>IF($A108="","",IFERROR(TEXTJOIN(", ",TRUE,UNIQUE(FILTER(Schedule!$D$2:$D50000,Schedule!$G$2:$G50000=$A108,Schedule!$P$2:$P50000&gt;0,((Schedule!$U$2:$U50000=$B$2)+(Schedule!$U$2:$U50000=$C$2))))),""))</f>
        <v/>
      </c>
    </row>
    <row r="109">
      <c r="B109">
        <f>IF($A109="","",SUMIFS(Schedule!$P:$P,Schedule!$G:$G,$A109,Schedule!$U:$U,$B$2)+SUMIFS('TL Schedule'!$J:$J,'TL Schedule'!$C:$C,$A109,'TL Schedule'!$K:$K,$B$2))</f>
        <v/>
      </c>
      <c r="C109">
        <f>IF($A109="","",SUMIFS(Schedule!$P:$P,Schedule!$G:$G,$A109,Schedule!$U:$U,$C$2)+SUMIFS('TL Schedule'!$J:$J,'TL Schedule'!$C:$C,$A109,'TL Schedule'!$K:$K,$C$2))</f>
        <v/>
      </c>
      <c r="D109">
        <f>IF($A109="","",B109+C109)</f>
        <v/>
      </c>
      <c r="E109">
        <f>IF($A109="","",SUMIFS(Overtime!$H:$H,Overtime!$B:$B,$A109,Overtime!$N:$N,$B$2)+SUMIFS(Overtime!$H:$H,Overtime!$B:$B,$A109,Overtime!$N:$N,$C$2))</f>
        <v/>
      </c>
      <c r="F109">
        <f>IF($A109="","",SUMIFS('Death Penalty'!$E:$E,'Death Penalty'!$B:$B,$A109,'Death Penalty'!$L:$L,$B$2)+SUMIFS('Death Penalty'!$E:$E,'Death Penalty'!$B:$B,$A109,'Death Penalty'!$L:$L,$C$2))</f>
        <v/>
      </c>
      <c r="G109">
        <f>IF($A109="","",D109+E109-F109)</f>
        <v/>
      </c>
      <c r="H109">
        <f>IF($A109="","",SUMIFS(Incentives!$H:$H,Incentives!$B:$B,$A109,Incentives!$N:$N,$B$2)+SUMIFS(Incentives!$H:$H,Incentives!$B:$B,$A109,Incentives!$N:$N,$C$2))</f>
        <v/>
      </c>
      <c r="I109">
        <f>IF($A109="","",COUNTIFS(Schedule!$G:$G,$A109,Schedule!$U:$U,$B$2,Schedule!$P:$P,"&gt;0")+COUNTIFS('TL Schedule'!$C:$C,$A109,'TL Schedule'!$K:$K,$B$2,'TL Schedule'!$J:$J,"&gt;0")+COUNTIFS(Schedule!$G:$G,$A109,Schedule!$U:$U,$C$2,Schedule!$P:$P,"&gt;0")+COUNTIFS('TL Schedule'!$C:$C,$A109,'TL Schedule'!$K:$K,$C$2,'TL Schedule'!$J:$J,"&gt;0"))</f>
        <v/>
      </c>
      <c r="J109">
        <f>IF($A109="","",IFERROR(TEXTJOIN(", ",TRUE,UNIQUE(FILTER(Schedule!$D$2:$D50000,Schedule!$G$2:$G50000=$A109,Schedule!$P$2:$P50000&gt;0,((Schedule!$U$2:$U50000=$B$2)+(Schedule!$U$2:$U50000=$C$2))))),""))</f>
        <v/>
      </c>
    </row>
    <row r="110">
      <c r="B110">
        <f>IF($A110="","",SUMIFS(Schedule!$P:$P,Schedule!$G:$G,$A110,Schedule!$U:$U,$B$2)+SUMIFS('TL Schedule'!$J:$J,'TL Schedule'!$C:$C,$A110,'TL Schedule'!$K:$K,$B$2))</f>
        <v/>
      </c>
      <c r="C110">
        <f>IF($A110="","",SUMIFS(Schedule!$P:$P,Schedule!$G:$G,$A110,Schedule!$U:$U,$C$2)+SUMIFS('TL Schedule'!$J:$J,'TL Schedule'!$C:$C,$A110,'TL Schedule'!$K:$K,$C$2))</f>
        <v/>
      </c>
      <c r="D110">
        <f>IF($A110="","",B110+C110)</f>
        <v/>
      </c>
      <c r="E110">
        <f>IF($A110="","",SUMIFS(Overtime!$H:$H,Overtime!$B:$B,$A110,Overtime!$N:$N,$B$2)+SUMIFS(Overtime!$H:$H,Overtime!$B:$B,$A110,Overtime!$N:$N,$C$2))</f>
        <v/>
      </c>
      <c r="F110">
        <f>IF($A110="","",SUMIFS('Death Penalty'!$E:$E,'Death Penalty'!$B:$B,$A110,'Death Penalty'!$L:$L,$B$2)+SUMIFS('Death Penalty'!$E:$E,'Death Penalty'!$B:$B,$A110,'Death Penalty'!$L:$L,$C$2))</f>
        <v/>
      </c>
      <c r="G110">
        <f>IF($A110="","",D110+E110-F110)</f>
        <v/>
      </c>
      <c r="H110">
        <f>IF($A110="","",SUMIFS(Incentives!$H:$H,Incentives!$B:$B,$A110,Incentives!$N:$N,$B$2)+SUMIFS(Incentives!$H:$H,Incentives!$B:$B,$A110,Incentives!$N:$N,$C$2))</f>
        <v/>
      </c>
      <c r="I110">
        <f>IF($A110="","",COUNTIFS(Schedule!$G:$G,$A110,Schedule!$U:$U,$B$2,Schedule!$P:$P,"&gt;0")+COUNTIFS('TL Schedule'!$C:$C,$A110,'TL Schedule'!$K:$K,$B$2,'TL Schedule'!$J:$J,"&gt;0")+COUNTIFS(Schedule!$G:$G,$A110,Schedule!$U:$U,$C$2,Schedule!$P:$P,"&gt;0")+COUNTIFS('TL Schedule'!$C:$C,$A110,'TL Schedule'!$K:$K,$C$2,'TL Schedule'!$J:$J,"&gt;0"))</f>
        <v/>
      </c>
      <c r="J110">
        <f>IF($A110="","",IFERROR(TEXTJOIN(", ",TRUE,UNIQUE(FILTER(Schedule!$D$2:$D50000,Schedule!$G$2:$G50000=$A110,Schedule!$P$2:$P50000&gt;0,((Schedule!$U$2:$U50000=$B$2)+(Schedule!$U$2:$U50000=$C$2))))),""))</f>
        <v/>
      </c>
    </row>
    <row r="111">
      <c r="B111">
        <f>IF($A111="","",SUMIFS(Schedule!$P:$P,Schedule!$G:$G,$A111,Schedule!$U:$U,$B$2)+SUMIFS('TL Schedule'!$J:$J,'TL Schedule'!$C:$C,$A111,'TL Schedule'!$K:$K,$B$2))</f>
        <v/>
      </c>
      <c r="C111">
        <f>IF($A111="","",SUMIFS(Schedule!$P:$P,Schedule!$G:$G,$A111,Schedule!$U:$U,$C$2)+SUMIFS('TL Schedule'!$J:$J,'TL Schedule'!$C:$C,$A111,'TL Schedule'!$K:$K,$C$2))</f>
        <v/>
      </c>
      <c r="D111">
        <f>IF($A111="","",B111+C111)</f>
        <v/>
      </c>
      <c r="E111">
        <f>IF($A111="","",SUMIFS(Overtime!$H:$H,Overtime!$B:$B,$A111,Overtime!$N:$N,$B$2)+SUMIFS(Overtime!$H:$H,Overtime!$B:$B,$A111,Overtime!$N:$N,$C$2))</f>
        <v/>
      </c>
      <c r="F111">
        <f>IF($A111="","",SUMIFS('Death Penalty'!$E:$E,'Death Penalty'!$B:$B,$A111,'Death Penalty'!$L:$L,$B$2)+SUMIFS('Death Penalty'!$E:$E,'Death Penalty'!$B:$B,$A111,'Death Penalty'!$L:$L,$C$2))</f>
        <v/>
      </c>
      <c r="G111">
        <f>IF($A111="","",D111+E111-F111)</f>
        <v/>
      </c>
      <c r="H111">
        <f>IF($A111="","",SUMIFS(Incentives!$H:$H,Incentives!$B:$B,$A111,Incentives!$N:$N,$B$2)+SUMIFS(Incentives!$H:$H,Incentives!$B:$B,$A111,Incentives!$N:$N,$C$2))</f>
        <v/>
      </c>
      <c r="I111">
        <f>IF($A111="","",COUNTIFS(Schedule!$G:$G,$A111,Schedule!$U:$U,$B$2,Schedule!$P:$P,"&gt;0")+COUNTIFS('TL Schedule'!$C:$C,$A111,'TL Schedule'!$K:$K,$B$2,'TL Schedule'!$J:$J,"&gt;0")+COUNTIFS(Schedule!$G:$G,$A111,Schedule!$U:$U,$C$2,Schedule!$P:$P,"&gt;0")+COUNTIFS('TL Schedule'!$C:$C,$A111,'TL Schedule'!$K:$K,$C$2,'TL Schedule'!$J:$J,"&gt;0"))</f>
        <v/>
      </c>
      <c r="J111">
        <f>IF($A111="","",IFERROR(TEXTJOIN(", ",TRUE,UNIQUE(FILTER(Schedule!$D$2:$D50000,Schedule!$G$2:$G50000=$A111,Schedule!$P$2:$P50000&gt;0,((Schedule!$U$2:$U50000=$B$2)+(Schedule!$U$2:$U50000=$C$2))))),""))</f>
        <v/>
      </c>
    </row>
    <row r="112">
      <c r="B112">
        <f>IF($A112="","",SUMIFS(Schedule!$P:$P,Schedule!$G:$G,$A112,Schedule!$U:$U,$B$2)+SUMIFS('TL Schedule'!$J:$J,'TL Schedule'!$C:$C,$A112,'TL Schedule'!$K:$K,$B$2))</f>
        <v/>
      </c>
      <c r="C112">
        <f>IF($A112="","",SUMIFS(Schedule!$P:$P,Schedule!$G:$G,$A112,Schedule!$U:$U,$C$2)+SUMIFS('TL Schedule'!$J:$J,'TL Schedule'!$C:$C,$A112,'TL Schedule'!$K:$K,$C$2))</f>
        <v/>
      </c>
      <c r="D112">
        <f>IF($A112="","",B112+C112)</f>
        <v/>
      </c>
      <c r="E112">
        <f>IF($A112="","",SUMIFS(Overtime!$H:$H,Overtime!$B:$B,$A112,Overtime!$N:$N,$B$2)+SUMIFS(Overtime!$H:$H,Overtime!$B:$B,$A112,Overtime!$N:$N,$C$2))</f>
        <v/>
      </c>
      <c r="F112">
        <f>IF($A112="","",SUMIFS('Death Penalty'!$E:$E,'Death Penalty'!$B:$B,$A112,'Death Penalty'!$L:$L,$B$2)+SUMIFS('Death Penalty'!$E:$E,'Death Penalty'!$B:$B,$A112,'Death Penalty'!$L:$L,$C$2))</f>
        <v/>
      </c>
      <c r="G112">
        <f>IF($A112="","",D112+E112-F112)</f>
        <v/>
      </c>
      <c r="H112">
        <f>IF($A112="","",SUMIFS(Incentives!$H:$H,Incentives!$B:$B,$A112,Incentives!$N:$N,$B$2)+SUMIFS(Incentives!$H:$H,Incentives!$B:$B,$A112,Incentives!$N:$N,$C$2))</f>
        <v/>
      </c>
      <c r="I112">
        <f>IF($A112="","",COUNTIFS(Schedule!$G:$G,$A112,Schedule!$U:$U,$B$2,Schedule!$P:$P,"&gt;0")+COUNTIFS('TL Schedule'!$C:$C,$A112,'TL Schedule'!$K:$K,$B$2,'TL Schedule'!$J:$J,"&gt;0")+COUNTIFS(Schedule!$G:$G,$A112,Schedule!$U:$U,$C$2,Schedule!$P:$P,"&gt;0")+COUNTIFS('TL Schedule'!$C:$C,$A112,'TL Schedule'!$K:$K,$C$2,'TL Schedule'!$J:$J,"&gt;0"))</f>
        <v/>
      </c>
      <c r="J112">
        <f>IF($A112="","",IFERROR(TEXTJOIN(", ",TRUE,UNIQUE(FILTER(Schedule!$D$2:$D50000,Schedule!$G$2:$G50000=$A112,Schedule!$P$2:$P50000&gt;0,((Schedule!$U$2:$U50000=$B$2)+(Schedule!$U$2:$U50000=$C$2))))),""))</f>
        <v/>
      </c>
    </row>
    <row r="113">
      <c r="B113">
        <f>IF($A113="","",SUMIFS(Schedule!$P:$P,Schedule!$G:$G,$A113,Schedule!$U:$U,$B$2)+SUMIFS('TL Schedule'!$J:$J,'TL Schedule'!$C:$C,$A113,'TL Schedule'!$K:$K,$B$2))</f>
        <v/>
      </c>
      <c r="C113">
        <f>IF($A113="","",SUMIFS(Schedule!$P:$P,Schedule!$G:$G,$A113,Schedule!$U:$U,$C$2)+SUMIFS('TL Schedule'!$J:$J,'TL Schedule'!$C:$C,$A113,'TL Schedule'!$K:$K,$C$2))</f>
        <v/>
      </c>
      <c r="D113">
        <f>IF($A113="","",B113+C113)</f>
        <v/>
      </c>
      <c r="E113">
        <f>IF($A113="","",SUMIFS(Overtime!$H:$H,Overtime!$B:$B,$A113,Overtime!$N:$N,$B$2)+SUMIFS(Overtime!$H:$H,Overtime!$B:$B,$A113,Overtime!$N:$N,$C$2))</f>
        <v/>
      </c>
      <c r="F113">
        <f>IF($A113="","",SUMIFS('Death Penalty'!$E:$E,'Death Penalty'!$B:$B,$A113,'Death Penalty'!$L:$L,$B$2)+SUMIFS('Death Penalty'!$E:$E,'Death Penalty'!$B:$B,$A113,'Death Penalty'!$L:$L,$C$2))</f>
        <v/>
      </c>
      <c r="G113">
        <f>IF($A113="","",D113+E113-F113)</f>
        <v/>
      </c>
      <c r="H113">
        <f>IF($A113="","",SUMIFS(Incentives!$H:$H,Incentives!$B:$B,$A113,Incentives!$N:$N,$B$2)+SUMIFS(Incentives!$H:$H,Incentives!$B:$B,$A113,Incentives!$N:$N,$C$2))</f>
        <v/>
      </c>
      <c r="I113">
        <f>IF($A113="","",COUNTIFS(Schedule!$G:$G,$A113,Schedule!$U:$U,$B$2,Schedule!$P:$P,"&gt;0")+COUNTIFS('TL Schedule'!$C:$C,$A113,'TL Schedule'!$K:$K,$B$2,'TL Schedule'!$J:$J,"&gt;0")+COUNTIFS(Schedule!$G:$G,$A113,Schedule!$U:$U,$C$2,Schedule!$P:$P,"&gt;0")+COUNTIFS('TL Schedule'!$C:$C,$A113,'TL Schedule'!$K:$K,$C$2,'TL Schedule'!$J:$J,"&gt;0"))</f>
        <v/>
      </c>
      <c r="J113">
        <f>IF($A113="","",IFERROR(TEXTJOIN(", ",TRUE,UNIQUE(FILTER(Schedule!$D$2:$D50000,Schedule!$G$2:$G50000=$A113,Schedule!$P$2:$P50000&gt;0,((Schedule!$U$2:$U50000=$B$2)+(Schedule!$U$2:$U50000=$C$2))))),""))</f>
        <v/>
      </c>
    </row>
    <row r="114">
      <c r="B114">
        <f>IF($A114="","",SUMIFS(Schedule!$P:$P,Schedule!$G:$G,$A114,Schedule!$U:$U,$B$2)+SUMIFS('TL Schedule'!$J:$J,'TL Schedule'!$C:$C,$A114,'TL Schedule'!$K:$K,$B$2))</f>
        <v/>
      </c>
      <c r="C114">
        <f>IF($A114="","",SUMIFS(Schedule!$P:$P,Schedule!$G:$G,$A114,Schedule!$U:$U,$C$2)+SUMIFS('TL Schedule'!$J:$J,'TL Schedule'!$C:$C,$A114,'TL Schedule'!$K:$K,$C$2))</f>
        <v/>
      </c>
      <c r="D114">
        <f>IF($A114="","",B114+C114)</f>
        <v/>
      </c>
      <c r="E114">
        <f>IF($A114="","",SUMIFS(Overtime!$H:$H,Overtime!$B:$B,$A114,Overtime!$N:$N,$B$2)+SUMIFS(Overtime!$H:$H,Overtime!$B:$B,$A114,Overtime!$N:$N,$C$2))</f>
        <v/>
      </c>
      <c r="F114">
        <f>IF($A114="","",SUMIFS('Death Penalty'!$E:$E,'Death Penalty'!$B:$B,$A114,'Death Penalty'!$L:$L,$B$2)+SUMIFS('Death Penalty'!$E:$E,'Death Penalty'!$B:$B,$A114,'Death Penalty'!$L:$L,$C$2))</f>
        <v/>
      </c>
      <c r="G114">
        <f>IF($A114="","",D114+E114-F114)</f>
        <v/>
      </c>
      <c r="H114">
        <f>IF($A114="","",SUMIFS(Incentives!$H:$H,Incentives!$B:$B,$A114,Incentives!$N:$N,$B$2)+SUMIFS(Incentives!$H:$H,Incentives!$B:$B,$A114,Incentives!$N:$N,$C$2))</f>
        <v/>
      </c>
      <c r="I114">
        <f>IF($A114="","",COUNTIFS(Schedule!$G:$G,$A114,Schedule!$U:$U,$B$2,Schedule!$P:$P,"&gt;0")+COUNTIFS('TL Schedule'!$C:$C,$A114,'TL Schedule'!$K:$K,$B$2,'TL Schedule'!$J:$J,"&gt;0")+COUNTIFS(Schedule!$G:$G,$A114,Schedule!$U:$U,$C$2,Schedule!$P:$P,"&gt;0")+COUNTIFS('TL Schedule'!$C:$C,$A114,'TL Schedule'!$K:$K,$C$2,'TL Schedule'!$J:$J,"&gt;0"))</f>
        <v/>
      </c>
      <c r="J114">
        <f>IF($A114="","",IFERROR(TEXTJOIN(", ",TRUE,UNIQUE(FILTER(Schedule!$D$2:$D50000,Schedule!$G$2:$G50000=$A114,Schedule!$P$2:$P50000&gt;0,((Schedule!$U$2:$U50000=$B$2)+(Schedule!$U$2:$U50000=$C$2))))),""))</f>
        <v/>
      </c>
    </row>
    <row r="115">
      <c r="B115">
        <f>IF($A115="","",SUMIFS(Schedule!$P:$P,Schedule!$G:$G,$A115,Schedule!$U:$U,$B$2)+SUMIFS('TL Schedule'!$J:$J,'TL Schedule'!$C:$C,$A115,'TL Schedule'!$K:$K,$B$2))</f>
        <v/>
      </c>
      <c r="C115">
        <f>IF($A115="","",SUMIFS(Schedule!$P:$P,Schedule!$G:$G,$A115,Schedule!$U:$U,$C$2)+SUMIFS('TL Schedule'!$J:$J,'TL Schedule'!$C:$C,$A115,'TL Schedule'!$K:$K,$C$2))</f>
        <v/>
      </c>
      <c r="D115">
        <f>IF($A115="","",B115+C115)</f>
        <v/>
      </c>
      <c r="E115">
        <f>IF($A115="","",SUMIFS(Overtime!$H:$H,Overtime!$B:$B,$A115,Overtime!$N:$N,$B$2)+SUMIFS(Overtime!$H:$H,Overtime!$B:$B,$A115,Overtime!$N:$N,$C$2))</f>
        <v/>
      </c>
      <c r="F115">
        <f>IF($A115="","",SUMIFS('Death Penalty'!$E:$E,'Death Penalty'!$B:$B,$A115,'Death Penalty'!$L:$L,$B$2)+SUMIFS('Death Penalty'!$E:$E,'Death Penalty'!$B:$B,$A115,'Death Penalty'!$L:$L,$C$2))</f>
        <v/>
      </c>
      <c r="G115">
        <f>IF($A115="","",D115+E115-F115)</f>
        <v/>
      </c>
      <c r="H115">
        <f>IF($A115="","",SUMIFS(Incentives!$H:$H,Incentives!$B:$B,$A115,Incentives!$N:$N,$B$2)+SUMIFS(Incentives!$H:$H,Incentives!$B:$B,$A115,Incentives!$N:$N,$C$2))</f>
        <v/>
      </c>
      <c r="I115">
        <f>IF($A115="","",COUNTIFS(Schedule!$G:$G,$A115,Schedule!$U:$U,$B$2,Schedule!$P:$P,"&gt;0")+COUNTIFS('TL Schedule'!$C:$C,$A115,'TL Schedule'!$K:$K,$B$2,'TL Schedule'!$J:$J,"&gt;0")+COUNTIFS(Schedule!$G:$G,$A115,Schedule!$U:$U,$C$2,Schedule!$P:$P,"&gt;0")+COUNTIFS('TL Schedule'!$C:$C,$A115,'TL Schedule'!$K:$K,$C$2,'TL Schedule'!$J:$J,"&gt;0"))</f>
        <v/>
      </c>
      <c r="J115">
        <f>IF($A115="","",IFERROR(TEXTJOIN(", ",TRUE,UNIQUE(FILTER(Schedule!$D$2:$D50000,Schedule!$G$2:$G50000=$A115,Schedule!$P$2:$P50000&gt;0,((Schedule!$U$2:$U50000=$B$2)+(Schedule!$U$2:$U50000=$C$2))))),""))</f>
        <v/>
      </c>
    </row>
    <row r="116">
      <c r="B116">
        <f>IF($A116="","",SUMIFS(Schedule!$P:$P,Schedule!$G:$G,$A116,Schedule!$U:$U,$B$2)+SUMIFS('TL Schedule'!$J:$J,'TL Schedule'!$C:$C,$A116,'TL Schedule'!$K:$K,$B$2))</f>
        <v/>
      </c>
      <c r="C116">
        <f>IF($A116="","",SUMIFS(Schedule!$P:$P,Schedule!$G:$G,$A116,Schedule!$U:$U,$C$2)+SUMIFS('TL Schedule'!$J:$J,'TL Schedule'!$C:$C,$A116,'TL Schedule'!$K:$K,$C$2))</f>
        <v/>
      </c>
      <c r="D116">
        <f>IF($A116="","",B116+C116)</f>
        <v/>
      </c>
      <c r="E116">
        <f>IF($A116="","",SUMIFS(Overtime!$H:$H,Overtime!$B:$B,$A116,Overtime!$N:$N,$B$2)+SUMIFS(Overtime!$H:$H,Overtime!$B:$B,$A116,Overtime!$N:$N,$C$2))</f>
        <v/>
      </c>
      <c r="F116">
        <f>IF($A116="","",SUMIFS('Death Penalty'!$E:$E,'Death Penalty'!$B:$B,$A116,'Death Penalty'!$L:$L,$B$2)+SUMIFS('Death Penalty'!$E:$E,'Death Penalty'!$B:$B,$A116,'Death Penalty'!$L:$L,$C$2))</f>
        <v/>
      </c>
      <c r="G116">
        <f>IF($A116="","",D116+E116-F116)</f>
        <v/>
      </c>
      <c r="H116">
        <f>IF($A116="","",SUMIFS(Incentives!$H:$H,Incentives!$B:$B,$A116,Incentives!$N:$N,$B$2)+SUMIFS(Incentives!$H:$H,Incentives!$B:$B,$A116,Incentives!$N:$N,$C$2))</f>
        <v/>
      </c>
      <c r="I116">
        <f>IF($A116="","",COUNTIFS(Schedule!$G:$G,$A116,Schedule!$U:$U,$B$2,Schedule!$P:$P,"&gt;0")+COUNTIFS('TL Schedule'!$C:$C,$A116,'TL Schedule'!$K:$K,$B$2,'TL Schedule'!$J:$J,"&gt;0")+COUNTIFS(Schedule!$G:$G,$A116,Schedule!$U:$U,$C$2,Schedule!$P:$P,"&gt;0")+COUNTIFS('TL Schedule'!$C:$C,$A116,'TL Schedule'!$K:$K,$C$2,'TL Schedule'!$J:$J,"&gt;0"))</f>
        <v/>
      </c>
      <c r="J116">
        <f>IF($A116="","",IFERROR(TEXTJOIN(", ",TRUE,UNIQUE(FILTER(Schedule!$D$2:$D50000,Schedule!$G$2:$G50000=$A116,Schedule!$P$2:$P50000&gt;0,((Schedule!$U$2:$U50000=$B$2)+(Schedule!$U$2:$U50000=$C$2))))),""))</f>
        <v/>
      </c>
    </row>
    <row r="117">
      <c r="B117">
        <f>IF($A117="","",SUMIFS(Schedule!$P:$P,Schedule!$G:$G,$A117,Schedule!$U:$U,$B$2)+SUMIFS('TL Schedule'!$J:$J,'TL Schedule'!$C:$C,$A117,'TL Schedule'!$K:$K,$B$2))</f>
        <v/>
      </c>
      <c r="C117">
        <f>IF($A117="","",SUMIFS(Schedule!$P:$P,Schedule!$G:$G,$A117,Schedule!$U:$U,$C$2)+SUMIFS('TL Schedule'!$J:$J,'TL Schedule'!$C:$C,$A117,'TL Schedule'!$K:$K,$C$2))</f>
        <v/>
      </c>
      <c r="D117">
        <f>IF($A117="","",B117+C117)</f>
        <v/>
      </c>
      <c r="E117">
        <f>IF($A117="","",SUMIFS(Overtime!$H:$H,Overtime!$B:$B,$A117,Overtime!$N:$N,$B$2)+SUMIFS(Overtime!$H:$H,Overtime!$B:$B,$A117,Overtime!$N:$N,$C$2))</f>
        <v/>
      </c>
      <c r="F117">
        <f>IF($A117="","",SUMIFS('Death Penalty'!$E:$E,'Death Penalty'!$B:$B,$A117,'Death Penalty'!$L:$L,$B$2)+SUMIFS('Death Penalty'!$E:$E,'Death Penalty'!$B:$B,$A117,'Death Penalty'!$L:$L,$C$2))</f>
        <v/>
      </c>
      <c r="G117">
        <f>IF($A117="","",D117+E117-F117)</f>
        <v/>
      </c>
      <c r="H117">
        <f>IF($A117="","",SUMIFS(Incentives!$H:$H,Incentives!$B:$B,$A117,Incentives!$N:$N,$B$2)+SUMIFS(Incentives!$H:$H,Incentives!$B:$B,$A117,Incentives!$N:$N,$C$2))</f>
        <v/>
      </c>
      <c r="I117">
        <f>IF($A117="","",COUNTIFS(Schedule!$G:$G,$A117,Schedule!$U:$U,$B$2,Schedule!$P:$P,"&gt;0")+COUNTIFS('TL Schedule'!$C:$C,$A117,'TL Schedule'!$K:$K,$B$2,'TL Schedule'!$J:$J,"&gt;0")+COUNTIFS(Schedule!$G:$G,$A117,Schedule!$U:$U,$C$2,Schedule!$P:$P,"&gt;0")+COUNTIFS('TL Schedule'!$C:$C,$A117,'TL Schedule'!$K:$K,$C$2,'TL Schedule'!$J:$J,"&gt;0"))</f>
        <v/>
      </c>
      <c r="J117">
        <f>IF($A117="","",IFERROR(TEXTJOIN(", ",TRUE,UNIQUE(FILTER(Schedule!$D$2:$D50000,Schedule!$G$2:$G50000=$A117,Schedule!$P$2:$P50000&gt;0,((Schedule!$U$2:$U50000=$B$2)+(Schedule!$U$2:$U50000=$C$2))))),""))</f>
        <v/>
      </c>
    </row>
    <row r="118">
      <c r="B118">
        <f>IF($A118="","",SUMIFS(Schedule!$P:$P,Schedule!$G:$G,$A118,Schedule!$U:$U,$B$2)+SUMIFS('TL Schedule'!$J:$J,'TL Schedule'!$C:$C,$A118,'TL Schedule'!$K:$K,$B$2))</f>
        <v/>
      </c>
      <c r="C118">
        <f>IF($A118="","",SUMIFS(Schedule!$P:$P,Schedule!$G:$G,$A118,Schedule!$U:$U,$C$2)+SUMIFS('TL Schedule'!$J:$J,'TL Schedule'!$C:$C,$A118,'TL Schedule'!$K:$K,$C$2))</f>
        <v/>
      </c>
      <c r="D118">
        <f>IF($A118="","",B118+C118)</f>
        <v/>
      </c>
      <c r="E118">
        <f>IF($A118="","",SUMIFS(Overtime!$H:$H,Overtime!$B:$B,$A118,Overtime!$N:$N,$B$2)+SUMIFS(Overtime!$H:$H,Overtime!$B:$B,$A118,Overtime!$N:$N,$C$2))</f>
        <v/>
      </c>
      <c r="F118">
        <f>IF($A118="","",SUMIFS('Death Penalty'!$E:$E,'Death Penalty'!$B:$B,$A118,'Death Penalty'!$L:$L,$B$2)+SUMIFS('Death Penalty'!$E:$E,'Death Penalty'!$B:$B,$A118,'Death Penalty'!$L:$L,$C$2))</f>
        <v/>
      </c>
      <c r="G118">
        <f>IF($A118="","",D118+E118-F118)</f>
        <v/>
      </c>
      <c r="H118">
        <f>IF($A118="","",SUMIFS(Incentives!$H:$H,Incentives!$B:$B,$A118,Incentives!$N:$N,$B$2)+SUMIFS(Incentives!$H:$H,Incentives!$B:$B,$A118,Incentives!$N:$N,$C$2))</f>
        <v/>
      </c>
      <c r="I118">
        <f>IF($A118="","",COUNTIFS(Schedule!$G:$G,$A118,Schedule!$U:$U,$B$2,Schedule!$P:$P,"&gt;0")+COUNTIFS('TL Schedule'!$C:$C,$A118,'TL Schedule'!$K:$K,$B$2,'TL Schedule'!$J:$J,"&gt;0")+COUNTIFS(Schedule!$G:$G,$A118,Schedule!$U:$U,$C$2,Schedule!$P:$P,"&gt;0")+COUNTIFS('TL Schedule'!$C:$C,$A118,'TL Schedule'!$K:$K,$C$2,'TL Schedule'!$J:$J,"&gt;0"))</f>
        <v/>
      </c>
      <c r="J118">
        <f>IF($A118="","",IFERROR(TEXTJOIN(", ",TRUE,UNIQUE(FILTER(Schedule!$D$2:$D50000,Schedule!$G$2:$G50000=$A118,Schedule!$P$2:$P50000&gt;0,((Schedule!$U$2:$U50000=$B$2)+(Schedule!$U$2:$U50000=$C$2))))),""))</f>
        <v/>
      </c>
    </row>
    <row r="119">
      <c r="B119">
        <f>IF($A119="","",SUMIFS(Schedule!$P:$P,Schedule!$G:$G,$A119,Schedule!$U:$U,$B$2)+SUMIFS('TL Schedule'!$J:$J,'TL Schedule'!$C:$C,$A119,'TL Schedule'!$K:$K,$B$2))</f>
        <v/>
      </c>
      <c r="C119">
        <f>IF($A119="","",SUMIFS(Schedule!$P:$P,Schedule!$G:$G,$A119,Schedule!$U:$U,$C$2)+SUMIFS('TL Schedule'!$J:$J,'TL Schedule'!$C:$C,$A119,'TL Schedule'!$K:$K,$C$2))</f>
        <v/>
      </c>
      <c r="D119">
        <f>IF($A119="","",B119+C119)</f>
        <v/>
      </c>
      <c r="E119">
        <f>IF($A119="","",SUMIFS(Overtime!$H:$H,Overtime!$B:$B,$A119,Overtime!$N:$N,$B$2)+SUMIFS(Overtime!$H:$H,Overtime!$B:$B,$A119,Overtime!$N:$N,$C$2))</f>
        <v/>
      </c>
      <c r="F119">
        <f>IF($A119="","",SUMIFS('Death Penalty'!$E:$E,'Death Penalty'!$B:$B,$A119,'Death Penalty'!$L:$L,$B$2)+SUMIFS('Death Penalty'!$E:$E,'Death Penalty'!$B:$B,$A119,'Death Penalty'!$L:$L,$C$2))</f>
        <v/>
      </c>
      <c r="G119">
        <f>IF($A119="","",D119+E119-F119)</f>
        <v/>
      </c>
      <c r="H119">
        <f>IF($A119="","",SUMIFS(Incentives!$H:$H,Incentives!$B:$B,$A119,Incentives!$N:$N,$B$2)+SUMIFS(Incentives!$H:$H,Incentives!$B:$B,$A119,Incentives!$N:$N,$C$2))</f>
        <v/>
      </c>
      <c r="I119">
        <f>IF($A119="","",COUNTIFS(Schedule!$G:$G,$A119,Schedule!$U:$U,$B$2,Schedule!$P:$P,"&gt;0")+COUNTIFS('TL Schedule'!$C:$C,$A119,'TL Schedule'!$K:$K,$B$2,'TL Schedule'!$J:$J,"&gt;0")+COUNTIFS(Schedule!$G:$G,$A119,Schedule!$U:$U,$C$2,Schedule!$P:$P,"&gt;0")+COUNTIFS('TL Schedule'!$C:$C,$A119,'TL Schedule'!$K:$K,$C$2,'TL Schedule'!$J:$J,"&gt;0"))</f>
        <v/>
      </c>
      <c r="J119">
        <f>IF($A119="","",IFERROR(TEXTJOIN(", ",TRUE,UNIQUE(FILTER(Schedule!$D$2:$D50000,Schedule!$G$2:$G50000=$A119,Schedule!$P$2:$P50000&gt;0,((Schedule!$U$2:$U50000=$B$2)+(Schedule!$U$2:$U50000=$C$2))))),""))</f>
        <v/>
      </c>
    </row>
    <row r="120">
      <c r="B120">
        <f>IF($A120="","",SUMIFS(Schedule!$P:$P,Schedule!$G:$G,$A120,Schedule!$U:$U,$B$2)+SUMIFS('TL Schedule'!$J:$J,'TL Schedule'!$C:$C,$A120,'TL Schedule'!$K:$K,$B$2))</f>
        <v/>
      </c>
      <c r="C120">
        <f>IF($A120="","",SUMIFS(Schedule!$P:$P,Schedule!$G:$G,$A120,Schedule!$U:$U,$C$2)+SUMIFS('TL Schedule'!$J:$J,'TL Schedule'!$C:$C,$A120,'TL Schedule'!$K:$K,$C$2))</f>
        <v/>
      </c>
      <c r="D120">
        <f>IF($A120="","",B120+C120)</f>
        <v/>
      </c>
      <c r="E120">
        <f>IF($A120="","",SUMIFS(Overtime!$H:$H,Overtime!$B:$B,$A120,Overtime!$N:$N,$B$2)+SUMIFS(Overtime!$H:$H,Overtime!$B:$B,$A120,Overtime!$N:$N,$C$2))</f>
        <v/>
      </c>
      <c r="F120">
        <f>IF($A120="","",SUMIFS('Death Penalty'!$E:$E,'Death Penalty'!$B:$B,$A120,'Death Penalty'!$L:$L,$B$2)+SUMIFS('Death Penalty'!$E:$E,'Death Penalty'!$B:$B,$A120,'Death Penalty'!$L:$L,$C$2))</f>
        <v/>
      </c>
      <c r="G120">
        <f>IF($A120="","",D120+E120-F120)</f>
        <v/>
      </c>
      <c r="H120">
        <f>IF($A120="","",SUMIFS(Incentives!$H:$H,Incentives!$B:$B,$A120,Incentives!$N:$N,$B$2)+SUMIFS(Incentives!$H:$H,Incentives!$B:$B,$A120,Incentives!$N:$N,$C$2))</f>
        <v/>
      </c>
      <c r="I120">
        <f>IF($A120="","",COUNTIFS(Schedule!$G:$G,$A120,Schedule!$U:$U,$B$2,Schedule!$P:$P,"&gt;0")+COUNTIFS('TL Schedule'!$C:$C,$A120,'TL Schedule'!$K:$K,$B$2,'TL Schedule'!$J:$J,"&gt;0")+COUNTIFS(Schedule!$G:$G,$A120,Schedule!$U:$U,$C$2,Schedule!$P:$P,"&gt;0")+COUNTIFS('TL Schedule'!$C:$C,$A120,'TL Schedule'!$K:$K,$C$2,'TL Schedule'!$J:$J,"&gt;0"))</f>
        <v/>
      </c>
      <c r="J120">
        <f>IF($A120="","",IFERROR(TEXTJOIN(", ",TRUE,UNIQUE(FILTER(Schedule!$D$2:$D50000,Schedule!$G$2:$G50000=$A120,Schedule!$P$2:$P50000&gt;0,((Schedule!$U$2:$U50000=$B$2)+(Schedule!$U$2:$U50000=$C$2))))),""))</f>
        <v/>
      </c>
    </row>
    <row r="121">
      <c r="B121">
        <f>IF($A121="","",SUMIFS(Schedule!$P:$P,Schedule!$G:$G,$A121,Schedule!$U:$U,$B$2)+SUMIFS('TL Schedule'!$J:$J,'TL Schedule'!$C:$C,$A121,'TL Schedule'!$K:$K,$B$2))</f>
        <v/>
      </c>
      <c r="C121">
        <f>IF($A121="","",SUMIFS(Schedule!$P:$P,Schedule!$G:$G,$A121,Schedule!$U:$U,$C$2)+SUMIFS('TL Schedule'!$J:$J,'TL Schedule'!$C:$C,$A121,'TL Schedule'!$K:$K,$C$2))</f>
        <v/>
      </c>
      <c r="D121">
        <f>IF($A121="","",B121+C121)</f>
        <v/>
      </c>
      <c r="E121">
        <f>IF($A121="","",SUMIFS(Overtime!$H:$H,Overtime!$B:$B,$A121,Overtime!$N:$N,$B$2)+SUMIFS(Overtime!$H:$H,Overtime!$B:$B,$A121,Overtime!$N:$N,$C$2))</f>
        <v/>
      </c>
      <c r="F121">
        <f>IF($A121="","",SUMIFS('Death Penalty'!$E:$E,'Death Penalty'!$B:$B,$A121,'Death Penalty'!$L:$L,$B$2)+SUMIFS('Death Penalty'!$E:$E,'Death Penalty'!$B:$B,$A121,'Death Penalty'!$L:$L,$C$2))</f>
        <v/>
      </c>
      <c r="G121">
        <f>IF($A121="","",D121+E121-F121)</f>
        <v/>
      </c>
      <c r="H121">
        <f>IF($A121="","",SUMIFS(Incentives!$H:$H,Incentives!$B:$B,$A121,Incentives!$N:$N,$B$2)+SUMIFS(Incentives!$H:$H,Incentives!$B:$B,$A121,Incentives!$N:$N,$C$2))</f>
        <v/>
      </c>
      <c r="I121">
        <f>IF($A121="","",COUNTIFS(Schedule!$G:$G,$A121,Schedule!$U:$U,$B$2,Schedule!$P:$P,"&gt;0")+COUNTIFS('TL Schedule'!$C:$C,$A121,'TL Schedule'!$K:$K,$B$2,'TL Schedule'!$J:$J,"&gt;0")+COUNTIFS(Schedule!$G:$G,$A121,Schedule!$U:$U,$C$2,Schedule!$P:$P,"&gt;0")+COUNTIFS('TL Schedule'!$C:$C,$A121,'TL Schedule'!$K:$K,$C$2,'TL Schedule'!$J:$J,"&gt;0"))</f>
        <v/>
      </c>
      <c r="J121">
        <f>IF($A121="","",IFERROR(TEXTJOIN(", ",TRUE,UNIQUE(FILTER(Schedule!$D$2:$D50000,Schedule!$G$2:$G50000=$A121,Schedule!$P$2:$P50000&gt;0,((Schedule!$U$2:$U50000=$B$2)+(Schedule!$U$2:$U50000=$C$2))))),""))</f>
        <v/>
      </c>
    </row>
    <row r="122">
      <c r="B122">
        <f>IF($A122="","",SUMIFS(Schedule!$P:$P,Schedule!$G:$G,$A122,Schedule!$U:$U,$B$2)+SUMIFS('TL Schedule'!$J:$J,'TL Schedule'!$C:$C,$A122,'TL Schedule'!$K:$K,$B$2))</f>
        <v/>
      </c>
      <c r="C122">
        <f>IF($A122="","",SUMIFS(Schedule!$P:$P,Schedule!$G:$G,$A122,Schedule!$U:$U,$C$2)+SUMIFS('TL Schedule'!$J:$J,'TL Schedule'!$C:$C,$A122,'TL Schedule'!$K:$K,$C$2))</f>
        <v/>
      </c>
      <c r="D122">
        <f>IF($A122="","",B122+C122)</f>
        <v/>
      </c>
      <c r="E122">
        <f>IF($A122="","",SUMIFS(Overtime!$H:$H,Overtime!$B:$B,$A122,Overtime!$N:$N,$B$2)+SUMIFS(Overtime!$H:$H,Overtime!$B:$B,$A122,Overtime!$N:$N,$C$2))</f>
        <v/>
      </c>
      <c r="F122">
        <f>IF($A122="","",SUMIFS('Death Penalty'!$E:$E,'Death Penalty'!$B:$B,$A122,'Death Penalty'!$L:$L,$B$2)+SUMIFS('Death Penalty'!$E:$E,'Death Penalty'!$B:$B,$A122,'Death Penalty'!$L:$L,$C$2))</f>
        <v/>
      </c>
      <c r="G122">
        <f>IF($A122="","",D122+E122-F122)</f>
        <v/>
      </c>
      <c r="H122">
        <f>IF($A122="","",SUMIFS(Incentives!$H:$H,Incentives!$B:$B,$A122,Incentives!$N:$N,$B$2)+SUMIFS(Incentives!$H:$H,Incentives!$B:$B,$A122,Incentives!$N:$N,$C$2))</f>
        <v/>
      </c>
      <c r="I122">
        <f>IF($A122="","",COUNTIFS(Schedule!$G:$G,$A122,Schedule!$U:$U,$B$2,Schedule!$P:$P,"&gt;0")+COUNTIFS('TL Schedule'!$C:$C,$A122,'TL Schedule'!$K:$K,$B$2,'TL Schedule'!$J:$J,"&gt;0")+COUNTIFS(Schedule!$G:$G,$A122,Schedule!$U:$U,$C$2,Schedule!$P:$P,"&gt;0")+COUNTIFS('TL Schedule'!$C:$C,$A122,'TL Schedule'!$K:$K,$C$2,'TL Schedule'!$J:$J,"&gt;0"))</f>
        <v/>
      </c>
      <c r="J122">
        <f>IF($A122="","",IFERROR(TEXTJOIN(", ",TRUE,UNIQUE(FILTER(Schedule!$D$2:$D50000,Schedule!$G$2:$G50000=$A122,Schedule!$P$2:$P50000&gt;0,((Schedule!$U$2:$U50000=$B$2)+(Schedule!$U$2:$U50000=$C$2))))),""))</f>
        <v/>
      </c>
    </row>
    <row r="123">
      <c r="B123">
        <f>IF($A123="","",SUMIFS(Schedule!$P:$P,Schedule!$G:$G,$A123,Schedule!$U:$U,$B$2)+SUMIFS('TL Schedule'!$J:$J,'TL Schedule'!$C:$C,$A123,'TL Schedule'!$K:$K,$B$2))</f>
        <v/>
      </c>
      <c r="C123">
        <f>IF($A123="","",SUMIFS(Schedule!$P:$P,Schedule!$G:$G,$A123,Schedule!$U:$U,$C$2)+SUMIFS('TL Schedule'!$J:$J,'TL Schedule'!$C:$C,$A123,'TL Schedule'!$K:$K,$C$2))</f>
        <v/>
      </c>
      <c r="D123">
        <f>IF($A123="","",B123+C123)</f>
        <v/>
      </c>
      <c r="E123">
        <f>IF($A123="","",SUMIFS(Overtime!$H:$H,Overtime!$B:$B,$A123,Overtime!$N:$N,$B$2)+SUMIFS(Overtime!$H:$H,Overtime!$B:$B,$A123,Overtime!$N:$N,$C$2))</f>
        <v/>
      </c>
      <c r="F123">
        <f>IF($A123="","",SUMIFS('Death Penalty'!$E:$E,'Death Penalty'!$B:$B,$A123,'Death Penalty'!$L:$L,$B$2)+SUMIFS('Death Penalty'!$E:$E,'Death Penalty'!$B:$B,$A123,'Death Penalty'!$L:$L,$C$2))</f>
        <v/>
      </c>
      <c r="G123">
        <f>IF($A123="","",D123+E123-F123)</f>
        <v/>
      </c>
      <c r="H123">
        <f>IF($A123="","",SUMIFS(Incentives!$H:$H,Incentives!$B:$B,$A123,Incentives!$N:$N,$B$2)+SUMIFS(Incentives!$H:$H,Incentives!$B:$B,$A123,Incentives!$N:$N,$C$2))</f>
        <v/>
      </c>
      <c r="I123">
        <f>IF($A123="","",COUNTIFS(Schedule!$G:$G,$A123,Schedule!$U:$U,$B$2,Schedule!$P:$P,"&gt;0")+COUNTIFS('TL Schedule'!$C:$C,$A123,'TL Schedule'!$K:$K,$B$2,'TL Schedule'!$J:$J,"&gt;0")+COUNTIFS(Schedule!$G:$G,$A123,Schedule!$U:$U,$C$2,Schedule!$P:$P,"&gt;0")+COUNTIFS('TL Schedule'!$C:$C,$A123,'TL Schedule'!$K:$K,$C$2,'TL Schedule'!$J:$J,"&gt;0"))</f>
        <v/>
      </c>
      <c r="J123">
        <f>IF($A123="","",IFERROR(TEXTJOIN(", ",TRUE,UNIQUE(FILTER(Schedule!$D$2:$D50000,Schedule!$G$2:$G50000=$A123,Schedule!$P$2:$P50000&gt;0,((Schedule!$U$2:$U50000=$B$2)+(Schedule!$U$2:$U50000=$C$2))))),""))</f>
        <v/>
      </c>
    </row>
    <row r="124">
      <c r="B124">
        <f>IF($A124="","",SUMIFS(Schedule!$P:$P,Schedule!$G:$G,$A124,Schedule!$U:$U,$B$2)+SUMIFS('TL Schedule'!$J:$J,'TL Schedule'!$C:$C,$A124,'TL Schedule'!$K:$K,$B$2))</f>
        <v/>
      </c>
      <c r="C124">
        <f>IF($A124="","",SUMIFS(Schedule!$P:$P,Schedule!$G:$G,$A124,Schedule!$U:$U,$C$2)+SUMIFS('TL Schedule'!$J:$J,'TL Schedule'!$C:$C,$A124,'TL Schedule'!$K:$K,$C$2))</f>
        <v/>
      </c>
      <c r="D124">
        <f>IF($A124="","",B124+C124)</f>
        <v/>
      </c>
      <c r="E124">
        <f>IF($A124="","",SUMIFS(Overtime!$H:$H,Overtime!$B:$B,$A124,Overtime!$N:$N,$B$2)+SUMIFS(Overtime!$H:$H,Overtime!$B:$B,$A124,Overtime!$N:$N,$C$2))</f>
        <v/>
      </c>
      <c r="F124">
        <f>IF($A124="","",SUMIFS('Death Penalty'!$E:$E,'Death Penalty'!$B:$B,$A124,'Death Penalty'!$L:$L,$B$2)+SUMIFS('Death Penalty'!$E:$E,'Death Penalty'!$B:$B,$A124,'Death Penalty'!$L:$L,$C$2))</f>
        <v/>
      </c>
      <c r="G124">
        <f>IF($A124="","",D124+E124-F124)</f>
        <v/>
      </c>
      <c r="H124">
        <f>IF($A124="","",SUMIFS(Incentives!$H:$H,Incentives!$B:$B,$A124,Incentives!$N:$N,$B$2)+SUMIFS(Incentives!$H:$H,Incentives!$B:$B,$A124,Incentives!$N:$N,$C$2))</f>
        <v/>
      </c>
      <c r="I124">
        <f>IF($A124="","",COUNTIFS(Schedule!$G:$G,$A124,Schedule!$U:$U,$B$2,Schedule!$P:$P,"&gt;0")+COUNTIFS('TL Schedule'!$C:$C,$A124,'TL Schedule'!$K:$K,$B$2,'TL Schedule'!$J:$J,"&gt;0")+COUNTIFS(Schedule!$G:$G,$A124,Schedule!$U:$U,$C$2,Schedule!$P:$P,"&gt;0")+COUNTIFS('TL Schedule'!$C:$C,$A124,'TL Schedule'!$K:$K,$C$2,'TL Schedule'!$J:$J,"&gt;0"))</f>
        <v/>
      </c>
      <c r="J124">
        <f>IF($A124="","",IFERROR(TEXTJOIN(", ",TRUE,UNIQUE(FILTER(Schedule!$D$2:$D50000,Schedule!$G$2:$G50000=$A124,Schedule!$P$2:$P50000&gt;0,((Schedule!$U$2:$U50000=$B$2)+(Schedule!$U$2:$U50000=$C$2))))),""))</f>
        <v/>
      </c>
    </row>
    <row r="125">
      <c r="B125">
        <f>IF($A125="","",SUMIFS(Schedule!$P:$P,Schedule!$G:$G,$A125,Schedule!$U:$U,$B$2)+SUMIFS('TL Schedule'!$J:$J,'TL Schedule'!$C:$C,$A125,'TL Schedule'!$K:$K,$B$2))</f>
        <v/>
      </c>
      <c r="C125">
        <f>IF($A125="","",SUMIFS(Schedule!$P:$P,Schedule!$G:$G,$A125,Schedule!$U:$U,$C$2)+SUMIFS('TL Schedule'!$J:$J,'TL Schedule'!$C:$C,$A125,'TL Schedule'!$K:$K,$C$2))</f>
        <v/>
      </c>
      <c r="D125">
        <f>IF($A125="","",B125+C125)</f>
        <v/>
      </c>
      <c r="E125">
        <f>IF($A125="","",SUMIFS(Overtime!$H:$H,Overtime!$B:$B,$A125,Overtime!$N:$N,$B$2)+SUMIFS(Overtime!$H:$H,Overtime!$B:$B,$A125,Overtime!$N:$N,$C$2))</f>
        <v/>
      </c>
      <c r="F125">
        <f>IF($A125="","",SUMIFS('Death Penalty'!$E:$E,'Death Penalty'!$B:$B,$A125,'Death Penalty'!$L:$L,$B$2)+SUMIFS('Death Penalty'!$E:$E,'Death Penalty'!$B:$B,$A125,'Death Penalty'!$L:$L,$C$2))</f>
        <v/>
      </c>
      <c r="G125">
        <f>IF($A125="","",D125+E125-F125)</f>
        <v/>
      </c>
      <c r="H125">
        <f>IF($A125="","",SUMIFS(Incentives!$H:$H,Incentives!$B:$B,$A125,Incentives!$N:$N,$B$2)+SUMIFS(Incentives!$H:$H,Incentives!$B:$B,$A125,Incentives!$N:$N,$C$2))</f>
        <v/>
      </c>
      <c r="I125">
        <f>IF($A125="","",COUNTIFS(Schedule!$G:$G,$A125,Schedule!$U:$U,$B$2,Schedule!$P:$P,"&gt;0")+COUNTIFS('TL Schedule'!$C:$C,$A125,'TL Schedule'!$K:$K,$B$2,'TL Schedule'!$J:$J,"&gt;0")+COUNTIFS(Schedule!$G:$G,$A125,Schedule!$U:$U,$C$2,Schedule!$P:$P,"&gt;0")+COUNTIFS('TL Schedule'!$C:$C,$A125,'TL Schedule'!$K:$K,$C$2,'TL Schedule'!$J:$J,"&gt;0"))</f>
        <v/>
      </c>
      <c r="J125">
        <f>IF($A125="","",IFERROR(TEXTJOIN(", ",TRUE,UNIQUE(FILTER(Schedule!$D$2:$D50000,Schedule!$G$2:$G50000=$A125,Schedule!$P$2:$P50000&gt;0,((Schedule!$U$2:$U50000=$B$2)+(Schedule!$U$2:$U50000=$C$2))))),""))</f>
        <v/>
      </c>
    </row>
    <row r="126">
      <c r="B126">
        <f>IF($A126="","",SUMIFS(Schedule!$P:$P,Schedule!$G:$G,$A126,Schedule!$U:$U,$B$2)+SUMIFS('TL Schedule'!$J:$J,'TL Schedule'!$C:$C,$A126,'TL Schedule'!$K:$K,$B$2))</f>
        <v/>
      </c>
      <c r="C126">
        <f>IF($A126="","",SUMIFS(Schedule!$P:$P,Schedule!$G:$G,$A126,Schedule!$U:$U,$C$2)+SUMIFS('TL Schedule'!$J:$J,'TL Schedule'!$C:$C,$A126,'TL Schedule'!$K:$K,$C$2))</f>
        <v/>
      </c>
      <c r="D126">
        <f>IF($A126="","",B126+C126)</f>
        <v/>
      </c>
      <c r="E126">
        <f>IF($A126="","",SUMIFS(Overtime!$H:$H,Overtime!$B:$B,$A126,Overtime!$N:$N,$B$2)+SUMIFS(Overtime!$H:$H,Overtime!$B:$B,$A126,Overtime!$N:$N,$C$2))</f>
        <v/>
      </c>
      <c r="F126">
        <f>IF($A126="","",SUMIFS('Death Penalty'!$E:$E,'Death Penalty'!$B:$B,$A126,'Death Penalty'!$L:$L,$B$2)+SUMIFS('Death Penalty'!$E:$E,'Death Penalty'!$B:$B,$A126,'Death Penalty'!$L:$L,$C$2))</f>
        <v/>
      </c>
      <c r="G126">
        <f>IF($A126="","",D126+E126-F126)</f>
        <v/>
      </c>
      <c r="H126">
        <f>IF($A126="","",SUMIFS(Incentives!$H:$H,Incentives!$B:$B,$A126,Incentives!$N:$N,$B$2)+SUMIFS(Incentives!$H:$H,Incentives!$B:$B,$A126,Incentives!$N:$N,$C$2))</f>
        <v/>
      </c>
      <c r="I126">
        <f>IF($A126="","",COUNTIFS(Schedule!$G:$G,$A126,Schedule!$U:$U,$B$2,Schedule!$P:$P,"&gt;0")+COUNTIFS('TL Schedule'!$C:$C,$A126,'TL Schedule'!$K:$K,$B$2,'TL Schedule'!$J:$J,"&gt;0")+COUNTIFS(Schedule!$G:$G,$A126,Schedule!$U:$U,$C$2,Schedule!$P:$P,"&gt;0")+COUNTIFS('TL Schedule'!$C:$C,$A126,'TL Schedule'!$K:$K,$C$2,'TL Schedule'!$J:$J,"&gt;0"))</f>
        <v/>
      </c>
      <c r="J126">
        <f>IF($A126="","",IFERROR(TEXTJOIN(", ",TRUE,UNIQUE(FILTER(Schedule!$D$2:$D50000,Schedule!$G$2:$G50000=$A126,Schedule!$P$2:$P50000&gt;0,((Schedule!$U$2:$U50000=$B$2)+(Schedule!$U$2:$U50000=$C$2))))),""))</f>
        <v/>
      </c>
    </row>
    <row r="127">
      <c r="B127">
        <f>IF($A127="","",SUMIFS(Schedule!$P:$P,Schedule!$G:$G,$A127,Schedule!$U:$U,$B$2)+SUMIFS('TL Schedule'!$J:$J,'TL Schedule'!$C:$C,$A127,'TL Schedule'!$K:$K,$B$2))</f>
        <v/>
      </c>
      <c r="C127">
        <f>IF($A127="","",SUMIFS(Schedule!$P:$P,Schedule!$G:$G,$A127,Schedule!$U:$U,$C$2)+SUMIFS('TL Schedule'!$J:$J,'TL Schedule'!$C:$C,$A127,'TL Schedule'!$K:$K,$C$2))</f>
        <v/>
      </c>
      <c r="D127">
        <f>IF($A127="","",B127+C127)</f>
        <v/>
      </c>
      <c r="E127">
        <f>IF($A127="","",SUMIFS(Overtime!$H:$H,Overtime!$B:$B,$A127,Overtime!$N:$N,$B$2)+SUMIFS(Overtime!$H:$H,Overtime!$B:$B,$A127,Overtime!$N:$N,$C$2))</f>
        <v/>
      </c>
      <c r="F127">
        <f>IF($A127="","",SUMIFS('Death Penalty'!$E:$E,'Death Penalty'!$B:$B,$A127,'Death Penalty'!$L:$L,$B$2)+SUMIFS('Death Penalty'!$E:$E,'Death Penalty'!$B:$B,$A127,'Death Penalty'!$L:$L,$C$2))</f>
        <v/>
      </c>
      <c r="G127">
        <f>IF($A127="","",D127+E127-F127)</f>
        <v/>
      </c>
      <c r="H127">
        <f>IF($A127="","",SUMIFS(Incentives!$H:$H,Incentives!$B:$B,$A127,Incentives!$N:$N,$B$2)+SUMIFS(Incentives!$H:$H,Incentives!$B:$B,$A127,Incentives!$N:$N,$C$2))</f>
        <v/>
      </c>
      <c r="I127">
        <f>IF($A127="","",COUNTIFS(Schedule!$G:$G,$A127,Schedule!$U:$U,$B$2,Schedule!$P:$P,"&gt;0")+COUNTIFS('TL Schedule'!$C:$C,$A127,'TL Schedule'!$K:$K,$B$2,'TL Schedule'!$J:$J,"&gt;0")+COUNTIFS(Schedule!$G:$G,$A127,Schedule!$U:$U,$C$2,Schedule!$P:$P,"&gt;0")+COUNTIFS('TL Schedule'!$C:$C,$A127,'TL Schedule'!$K:$K,$C$2,'TL Schedule'!$J:$J,"&gt;0"))</f>
        <v/>
      </c>
      <c r="J127">
        <f>IF($A127="","",IFERROR(TEXTJOIN(", ",TRUE,UNIQUE(FILTER(Schedule!$D$2:$D50000,Schedule!$G$2:$G50000=$A127,Schedule!$P$2:$P50000&gt;0,((Schedule!$U$2:$U50000=$B$2)+(Schedule!$U$2:$U50000=$C$2))))),""))</f>
        <v/>
      </c>
    </row>
    <row r="128">
      <c r="B128">
        <f>IF($A128="","",SUMIFS(Schedule!$P:$P,Schedule!$G:$G,$A128,Schedule!$U:$U,$B$2)+SUMIFS('TL Schedule'!$J:$J,'TL Schedule'!$C:$C,$A128,'TL Schedule'!$K:$K,$B$2))</f>
        <v/>
      </c>
      <c r="C128">
        <f>IF($A128="","",SUMIFS(Schedule!$P:$P,Schedule!$G:$G,$A128,Schedule!$U:$U,$C$2)+SUMIFS('TL Schedule'!$J:$J,'TL Schedule'!$C:$C,$A128,'TL Schedule'!$K:$K,$C$2))</f>
        <v/>
      </c>
      <c r="D128">
        <f>IF($A128="","",B128+C128)</f>
        <v/>
      </c>
      <c r="E128">
        <f>IF($A128="","",SUMIFS(Overtime!$H:$H,Overtime!$B:$B,$A128,Overtime!$N:$N,$B$2)+SUMIFS(Overtime!$H:$H,Overtime!$B:$B,$A128,Overtime!$N:$N,$C$2))</f>
        <v/>
      </c>
      <c r="F128">
        <f>IF($A128="","",SUMIFS('Death Penalty'!$E:$E,'Death Penalty'!$B:$B,$A128,'Death Penalty'!$L:$L,$B$2)+SUMIFS('Death Penalty'!$E:$E,'Death Penalty'!$B:$B,$A128,'Death Penalty'!$L:$L,$C$2))</f>
        <v/>
      </c>
      <c r="G128">
        <f>IF($A128="","",D128+E128-F128)</f>
        <v/>
      </c>
      <c r="H128">
        <f>IF($A128="","",SUMIFS(Incentives!$H:$H,Incentives!$B:$B,$A128,Incentives!$N:$N,$B$2)+SUMIFS(Incentives!$H:$H,Incentives!$B:$B,$A128,Incentives!$N:$N,$C$2))</f>
        <v/>
      </c>
      <c r="I128">
        <f>IF($A128="","",COUNTIFS(Schedule!$G:$G,$A128,Schedule!$U:$U,$B$2,Schedule!$P:$P,"&gt;0")+COUNTIFS('TL Schedule'!$C:$C,$A128,'TL Schedule'!$K:$K,$B$2,'TL Schedule'!$J:$J,"&gt;0")+COUNTIFS(Schedule!$G:$G,$A128,Schedule!$U:$U,$C$2,Schedule!$P:$P,"&gt;0")+COUNTIFS('TL Schedule'!$C:$C,$A128,'TL Schedule'!$K:$K,$C$2,'TL Schedule'!$J:$J,"&gt;0"))</f>
        <v/>
      </c>
      <c r="J128">
        <f>IF($A128="","",IFERROR(TEXTJOIN(", ",TRUE,UNIQUE(FILTER(Schedule!$D$2:$D50000,Schedule!$G$2:$G50000=$A128,Schedule!$P$2:$P50000&gt;0,((Schedule!$U$2:$U50000=$B$2)+(Schedule!$U$2:$U50000=$C$2))))),""))</f>
        <v/>
      </c>
    </row>
    <row r="129">
      <c r="B129">
        <f>IF($A129="","",SUMIFS(Schedule!$P:$P,Schedule!$G:$G,$A129,Schedule!$U:$U,$B$2)+SUMIFS('TL Schedule'!$J:$J,'TL Schedule'!$C:$C,$A129,'TL Schedule'!$K:$K,$B$2))</f>
        <v/>
      </c>
      <c r="C129">
        <f>IF($A129="","",SUMIFS(Schedule!$P:$P,Schedule!$G:$G,$A129,Schedule!$U:$U,$C$2)+SUMIFS('TL Schedule'!$J:$J,'TL Schedule'!$C:$C,$A129,'TL Schedule'!$K:$K,$C$2))</f>
        <v/>
      </c>
      <c r="D129">
        <f>IF($A129="","",B129+C129)</f>
        <v/>
      </c>
      <c r="E129">
        <f>IF($A129="","",SUMIFS(Overtime!$H:$H,Overtime!$B:$B,$A129,Overtime!$N:$N,$B$2)+SUMIFS(Overtime!$H:$H,Overtime!$B:$B,$A129,Overtime!$N:$N,$C$2))</f>
        <v/>
      </c>
      <c r="F129">
        <f>IF($A129="","",SUMIFS('Death Penalty'!$E:$E,'Death Penalty'!$B:$B,$A129,'Death Penalty'!$L:$L,$B$2)+SUMIFS('Death Penalty'!$E:$E,'Death Penalty'!$B:$B,$A129,'Death Penalty'!$L:$L,$C$2))</f>
        <v/>
      </c>
      <c r="G129">
        <f>IF($A129="","",D129+E129-F129)</f>
        <v/>
      </c>
      <c r="H129">
        <f>IF($A129="","",SUMIFS(Incentives!$H:$H,Incentives!$B:$B,$A129,Incentives!$N:$N,$B$2)+SUMIFS(Incentives!$H:$H,Incentives!$B:$B,$A129,Incentives!$N:$N,$C$2))</f>
        <v/>
      </c>
      <c r="I129">
        <f>IF($A129="","",COUNTIFS(Schedule!$G:$G,$A129,Schedule!$U:$U,$B$2,Schedule!$P:$P,"&gt;0")+COUNTIFS('TL Schedule'!$C:$C,$A129,'TL Schedule'!$K:$K,$B$2,'TL Schedule'!$J:$J,"&gt;0")+COUNTIFS(Schedule!$G:$G,$A129,Schedule!$U:$U,$C$2,Schedule!$P:$P,"&gt;0")+COUNTIFS('TL Schedule'!$C:$C,$A129,'TL Schedule'!$K:$K,$C$2,'TL Schedule'!$J:$J,"&gt;0"))</f>
        <v/>
      </c>
      <c r="J129">
        <f>IF($A129="","",IFERROR(TEXTJOIN(", ",TRUE,UNIQUE(FILTER(Schedule!$D$2:$D50000,Schedule!$G$2:$G50000=$A129,Schedule!$P$2:$P50000&gt;0,((Schedule!$U$2:$U50000=$B$2)+(Schedule!$U$2:$U50000=$C$2))))),""))</f>
        <v/>
      </c>
    </row>
    <row r="130">
      <c r="B130">
        <f>IF($A130="","",SUMIFS(Schedule!$P:$P,Schedule!$G:$G,$A130,Schedule!$U:$U,$B$2)+SUMIFS('TL Schedule'!$J:$J,'TL Schedule'!$C:$C,$A130,'TL Schedule'!$K:$K,$B$2))</f>
        <v/>
      </c>
      <c r="C130">
        <f>IF($A130="","",SUMIFS(Schedule!$P:$P,Schedule!$G:$G,$A130,Schedule!$U:$U,$C$2)+SUMIFS('TL Schedule'!$J:$J,'TL Schedule'!$C:$C,$A130,'TL Schedule'!$K:$K,$C$2))</f>
        <v/>
      </c>
      <c r="D130">
        <f>IF($A130="","",B130+C130)</f>
        <v/>
      </c>
      <c r="E130">
        <f>IF($A130="","",SUMIFS(Overtime!$H:$H,Overtime!$B:$B,$A130,Overtime!$N:$N,$B$2)+SUMIFS(Overtime!$H:$H,Overtime!$B:$B,$A130,Overtime!$N:$N,$C$2))</f>
        <v/>
      </c>
      <c r="F130">
        <f>IF($A130="","",SUMIFS('Death Penalty'!$E:$E,'Death Penalty'!$B:$B,$A130,'Death Penalty'!$L:$L,$B$2)+SUMIFS('Death Penalty'!$E:$E,'Death Penalty'!$B:$B,$A130,'Death Penalty'!$L:$L,$C$2))</f>
        <v/>
      </c>
      <c r="G130">
        <f>IF($A130="","",D130+E130-F130)</f>
        <v/>
      </c>
      <c r="H130">
        <f>IF($A130="","",SUMIFS(Incentives!$H:$H,Incentives!$B:$B,$A130,Incentives!$N:$N,$B$2)+SUMIFS(Incentives!$H:$H,Incentives!$B:$B,$A130,Incentives!$N:$N,$C$2))</f>
        <v/>
      </c>
      <c r="I130">
        <f>IF($A130="","",COUNTIFS(Schedule!$G:$G,$A130,Schedule!$U:$U,$B$2,Schedule!$P:$P,"&gt;0")+COUNTIFS('TL Schedule'!$C:$C,$A130,'TL Schedule'!$K:$K,$B$2,'TL Schedule'!$J:$J,"&gt;0")+COUNTIFS(Schedule!$G:$G,$A130,Schedule!$U:$U,$C$2,Schedule!$P:$P,"&gt;0")+COUNTIFS('TL Schedule'!$C:$C,$A130,'TL Schedule'!$K:$K,$C$2,'TL Schedule'!$J:$J,"&gt;0"))</f>
        <v/>
      </c>
      <c r="J130">
        <f>IF($A130="","",IFERROR(TEXTJOIN(", ",TRUE,UNIQUE(FILTER(Schedule!$D$2:$D50000,Schedule!$G$2:$G50000=$A130,Schedule!$P$2:$P50000&gt;0,((Schedule!$U$2:$U50000=$B$2)+(Schedule!$U$2:$U50000=$C$2))))),""))</f>
        <v/>
      </c>
    </row>
    <row r="131">
      <c r="B131">
        <f>IF($A131="","",SUMIFS(Schedule!$P:$P,Schedule!$G:$G,$A131,Schedule!$U:$U,$B$2)+SUMIFS('TL Schedule'!$J:$J,'TL Schedule'!$C:$C,$A131,'TL Schedule'!$K:$K,$B$2))</f>
        <v/>
      </c>
      <c r="C131">
        <f>IF($A131="","",SUMIFS(Schedule!$P:$P,Schedule!$G:$G,$A131,Schedule!$U:$U,$C$2)+SUMIFS('TL Schedule'!$J:$J,'TL Schedule'!$C:$C,$A131,'TL Schedule'!$K:$K,$C$2))</f>
        <v/>
      </c>
      <c r="D131">
        <f>IF($A131="","",B131+C131)</f>
        <v/>
      </c>
      <c r="E131">
        <f>IF($A131="","",SUMIFS(Overtime!$H:$H,Overtime!$B:$B,$A131,Overtime!$N:$N,$B$2)+SUMIFS(Overtime!$H:$H,Overtime!$B:$B,$A131,Overtime!$N:$N,$C$2))</f>
        <v/>
      </c>
      <c r="F131">
        <f>IF($A131="","",SUMIFS('Death Penalty'!$E:$E,'Death Penalty'!$B:$B,$A131,'Death Penalty'!$L:$L,$B$2)+SUMIFS('Death Penalty'!$E:$E,'Death Penalty'!$B:$B,$A131,'Death Penalty'!$L:$L,$C$2))</f>
        <v/>
      </c>
      <c r="G131">
        <f>IF($A131="","",D131+E131-F131)</f>
        <v/>
      </c>
      <c r="H131">
        <f>IF($A131="","",SUMIFS(Incentives!$H:$H,Incentives!$B:$B,$A131,Incentives!$N:$N,$B$2)+SUMIFS(Incentives!$H:$H,Incentives!$B:$B,$A131,Incentives!$N:$N,$C$2))</f>
        <v/>
      </c>
      <c r="I131">
        <f>IF($A131="","",COUNTIFS(Schedule!$G:$G,$A131,Schedule!$U:$U,$B$2,Schedule!$P:$P,"&gt;0")+COUNTIFS('TL Schedule'!$C:$C,$A131,'TL Schedule'!$K:$K,$B$2,'TL Schedule'!$J:$J,"&gt;0")+COUNTIFS(Schedule!$G:$G,$A131,Schedule!$U:$U,$C$2,Schedule!$P:$P,"&gt;0")+COUNTIFS('TL Schedule'!$C:$C,$A131,'TL Schedule'!$K:$K,$C$2,'TL Schedule'!$J:$J,"&gt;0"))</f>
        <v/>
      </c>
      <c r="J131">
        <f>IF($A131="","",IFERROR(TEXTJOIN(", ",TRUE,UNIQUE(FILTER(Schedule!$D$2:$D50000,Schedule!$G$2:$G50000=$A131,Schedule!$P$2:$P50000&gt;0,((Schedule!$U$2:$U50000=$B$2)+(Schedule!$U$2:$U50000=$C$2))))),""))</f>
        <v/>
      </c>
    </row>
    <row r="132">
      <c r="B132">
        <f>IF($A132="","",SUMIFS(Schedule!$P:$P,Schedule!$G:$G,$A132,Schedule!$U:$U,$B$2)+SUMIFS('TL Schedule'!$J:$J,'TL Schedule'!$C:$C,$A132,'TL Schedule'!$K:$K,$B$2))</f>
        <v/>
      </c>
      <c r="C132">
        <f>IF($A132="","",SUMIFS(Schedule!$P:$P,Schedule!$G:$G,$A132,Schedule!$U:$U,$C$2)+SUMIFS('TL Schedule'!$J:$J,'TL Schedule'!$C:$C,$A132,'TL Schedule'!$K:$K,$C$2))</f>
        <v/>
      </c>
      <c r="D132">
        <f>IF($A132="","",B132+C132)</f>
        <v/>
      </c>
      <c r="E132">
        <f>IF($A132="","",SUMIFS(Overtime!$H:$H,Overtime!$B:$B,$A132,Overtime!$N:$N,$B$2)+SUMIFS(Overtime!$H:$H,Overtime!$B:$B,$A132,Overtime!$N:$N,$C$2))</f>
        <v/>
      </c>
      <c r="F132">
        <f>IF($A132="","",SUMIFS('Death Penalty'!$E:$E,'Death Penalty'!$B:$B,$A132,'Death Penalty'!$L:$L,$B$2)+SUMIFS('Death Penalty'!$E:$E,'Death Penalty'!$B:$B,$A132,'Death Penalty'!$L:$L,$C$2))</f>
        <v/>
      </c>
      <c r="G132">
        <f>IF($A132="","",D132+E132-F132)</f>
        <v/>
      </c>
      <c r="H132">
        <f>IF($A132="","",SUMIFS(Incentives!$H:$H,Incentives!$B:$B,$A132,Incentives!$N:$N,$B$2)+SUMIFS(Incentives!$H:$H,Incentives!$B:$B,$A132,Incentives!$N:$N,$C$2))</f>
        <v/>
      </c>
      <c r="I132">
        <f>IF($A132="","",COUNTIFS(Schedule!$G:$G,$A132,Schedule!$U:$U,$B$2,Schedule!$P:$P,"&gt;0")+COUNTIFS('TL Schedule'!$C:$C,$A132,'TL Schedule'!$K:$K,$B$2,'TL Schedule'!$J:$J,"&gt;0")+COUNTIFS(Schedule!$G:$G,$A132,Schedule!$U:$U,$C$2,Schedule!$P:$P,"&gt;0")+COUNTIFS('TL Schedule'!$C:$C,$A132,'TL Schedule'!$K:$K,$C$2,'TL Schedule'!$J:$J,"&gt;0"))</f>
        <v/>
      </c>
      <c r="J132">
        <f>IF($A132="","",IFERROR(TEXTJOIN(", ",TRUE,UNIQUE(FILTER(Schedule!$D$2:$D50000,Schedule!$G$2:$G50000=$A132,Schedule!$P$2:$P50000&gt;0,((Schedule!$U$2:$U50000=$B$2)+(Schedule!$U$2:$U50000=$C$2))))),""))</f>
        <v/>
      </c>
    </row>
    <row r="133">
      <c r="B133">
        <f>IF($A133="","",SUMIFS(Schedule!$P:$P,Schedule!$G:$G,$A133,Schedule!$U:$U,$B$2)+SUMIFS('TL Schedule'!$J:$J,'TL Schedule'!$C:$C,$A133,'TL Schedule'!$K:$K,$B$2))</f>
        <v/>
      </c>
      <c r="C133">
        <f>IF($A133="","",SUMIFS(Schedule!$P:$P,Schedule!$G:$G,$A133,Schedule!$U:$U,$C$2)+SUMIFS('TL Schedule'!$J:$J,'TL Schedule'!$C:$C,$A133,'TL Schedule'!$K:$K,$C$2))</f>
        <v/>
      </c>
      <c r="D133">
        <f>IF($A133="","",B133+C133)</f>
        <v/>
      </c>
      <c r="E133">
        <f>IF($A133="","",SUMIFS(Overtime!$H:$H,Overtime!$B:$B,$A133,Overtime!$N:$N,$B$2)+SUMIFS(Overtime!$H:$H,Overtime!$B:$B,$A133,Overtime!$N:$N,$C$2))</f>
        <v/>
      </c>
      <c r="F133">
        <f>IF($A133="","",SUMIFS('Death Penalty'!$E:$E,'Death Penalty'!$B:$B,$A133,'Death Penalty'!$L:$L,$B$2)+SUMIFS('Death Penalty'!$E:$E,'Death Penalty'!$B:$B,$A133,'Death Penalty'!$L:$L,$C$2))</f>
        <v/>
      </c>
      <c r="G133">
        <f>IF($A133="","",D133+E133-F133)</f>
        <v/>
      </c>
      <c r="H133">
        <f>IF($A133="","",SUMIFS(Incentives!$H:$H,Incentives!$B:$B,$A133,Incentives!$N:$N,$B$2)+SUMIFS(Incentives!$H:$H,Incentives!$B:$B,$A133,Incentives!$N:$N,$C$2))</f>
        <v/>
      </c>
      <c r="I133">
        <f>IF($A133="","",COUNTIFS(Schedule!$G:$G,$A133,Schedule!$U:$U,$B$2,Schedule!$P:$P,"&gt;0")+COUNTIFS('TL Schedule'!$C:$C,$A133,'TL Schedule'!$K:$K,$B$2,'TL Schedule'!$J:$J,"&gt;0")+COUNTIFS(Schedule!$G:$G,$A133,Schedule!$U:$U,$C$2,Schedule!$P:$P,"&gt;0")+COUNTIFS('TL Schedule'!$C:$C,$A133,'TL Schedule'!$K:$K,$C$2,'TL Schedule'!$J:$J,"&gt;0"))</f>
        <v/>
      </c>
      <c r="J133">
        <f>IF($A133="","",IFERROR(TEXTJOIN(", ",TRUE,UNIQUE(FILTER(Schedule!$D$2:$D50000,Schedule!$G$2:$G50000=$A133,Schedule!$P$2:$P50000&gt;0,((Schedule!$U$2:$U50000=$B$2)+(Schedule!$U$2:$U50000=$C$2))))),""))</f>
        <v/>
      </c>
    </row>
    <row r="134">
      <c r="B134">
        <f>IF($A134="","",SUMIFS(Schedule!$P:$P,Schedule!$G:$G,$A134,Schedule!$U:$U,$B$2)+SUMIFS('TL Schedule'!$J:$J,'TL Schedule'!$C:$C,$A134,'TL Schedule'!$K:$K,$B$2))</f>
        <v/>
      </c>
      <c r="C134">
        <f>IF($A134="","",SUMIFS(Schedule!$P:$P,Schedule!$G:$G,$A134,Schedule!$U:$U,$C$2)+SUMIFS('TL Schedule'!$J:$J,'TL Schedule'!$C:$C,$A134,'TL Schedule'!$K:$K,$C$2))</f>
        <v/>
      </c>
      <c r="D134">
        <f>IF($A134="","",B134+C134)</f>
        <v/>
      </c>
      <c r="E134">
        <f>IF($A134="","",SUMIFS(Overtime!$H:$H,Overtime!$B:$B,$A134,Overtime!$N:$N,$B$2)+SUMIFS(Overtime!$H:$H,Overtime!$B:$B,$A134,Overtime!$N:$N,$C$2))</f>
        <v/>
      </c>
      <c r="F134">
        <f>IF($A134="","",SUMIFS('Death Penalty'!$E:$E,'Death Penalty'!$B:$B,$A134,'Death Penalty'!$L:$L,$B$2)+SUMIFS('Death Penalty'!$E:$E,'Death Penalty'!$B:$B,$A134,'Death Penalty'!$L:$L,$C$2))</f>
        <v/>
      </c>
      <c r="G134">
        <f>IF($A134="","",D134+E134-F134)</f>
        <v/>
      </c>
      <c r="H134">
        <f>IF($A134="","",SUMIFS(Incentives!$H:$H,Incentives!$B:$B,$A134,Incentives!$N:$N,$B$2)+SUMIFS(Incentives!$H:$H,Incentives!$B:$B,$A134,Incentives!$N:$N,$C$2))</f>
        <v/>
      </c>
      <c r="I134">
        <f>IF($A134="","",COUNTIFS(Schedule!$G:$G,$A134,Schedule!$U:$U,$B$2,Schedule!$P:$P,"&gt;0")+COUNTIFS('TL Schedule'!$C:$C,$A134,'TL Schedule'!$K:$K,$B$2,'TL Schedule'!$J:$J,"&gt;0")+COUNTIFS(Schedule!$G:$G,$A134,Schedule!$U:$U,$C$2,Schedule!$P:$P,"&gt;0")+COUNTIFS('TL Schedule'!$C:$C,$A134,'TL Schedule'!$K:$K,$C$2,'TL Schedule'!$J:$J,"&gt;0"))</f>
        <v/>
      </c>
      <c r="J134">
        <f>IF($A134="","",IFERROR(TEXTJOIN(", ",TRUE,UNIQUE(FILTER(Schedule!$D$2:$D50000,Schedule!$G$2:$G50000=$A134,Schedule!$P$2:$P50000&gt;0,((Schedule!$U$2:$U50000=$B$2)+(Schedule!$U$2:$U50000=$C$2))))),""))</f>
        <v/>
      </c>
    </row>
    <row r="135">
      <c r="B135">
        <f>IF($A135="","",SUMIFS(Schedule!$P:$P,Schedule!$G:$G,$A135,Schedule!$U:$U,$B$2)+SUMIFS('TL Schedule'!$J:$J,'TL Schedule'!$C:$C,$A135,'TL Schedule'!$K:$K,$B$2))</f>
        <v/>
      </c>
      <c r="C135">
        <f>IF($A135="","",SUMIFS(Schedule!$P:$P,Schedule!$G:$G,$A135,Schedule!$U:$U,$C$2)+SUMIFS('TL Schedule'!$J:$J,'TL Schedule'!$C:$C,$A135,'TL Schedule'!$K:$K,$C$2))</f>
        <v/>
      </c>
      <c r="D135">
        <f>IF($A135="","",B135+C135)</f>
        <v/>
      </c>
      <c r="E135">
        <f>IF($A135="","",SUMIFS(Overtime!$H:$H,Overtime!$B:$B,$A135,Overtime!$N:$N,$B$2)+SUMIFS(Overtime!$H:$H,Overtime!$B:$B,$A135,Overtime!$N:$N,$C$2))</f>
        <v/>
      </c>
      <c r="F135">
        <f>IF($A135="","",SUMIFS('Death Penalty'!$E:$E,'Death Penalty'!$B:$B,$A135,'Death Penalty'!$L:$L,$B$2)+SUMIFS('Death Penalty'!$E:$E,'Death Penalty'!$B:$B,$A135,'Death Penalty'!$L:$L,$C$2))</f>
        <v/>
      </c>
      <c r="G135">
        <f>IF($A135="","",D135+E135-F135)</f>
        <v/>
      </c>
      <c r="H135">
        <f>IF($A135="","",SUMIFS(Incentives!$H:$H,Incentives!$B:$B,$A135,Incentives!$N:$N,$B$2)+SUMIFS(Incentives!$H:$H,Incentives!$B:$B,$A135,Incentives!$N:$N,$C$2))</f>
        <v/>
      </c>
      <c r="I135">
        <f>IF($A135="","",COUNTIFS(Schedule!$G:$G,$A135,Schedule!$U:$U,$B$2,Schedule!$P:$P,"&gt;0")+COUNTIFS('TL Schedule'!$C:$C,$A135,'TL Schedule'!$K:$K,$B$2,'TL Schedule'!$J:$J,"&gt;0")+COUNTIFS(Schedule!$G:$G,$A135,Schedule!$U:$U,$C$2,Schedule!$P:$P,"&gt;0")+COUNTIFS('TL Schedule'!$C:$C,$A135,'TL Schedule'!$K:$K,$C$2,'TL Schedule'!$J:$J,"&gt;0"))</f>
        <v/>
      </c>
      <c r="J135">
        <f>IF($A135="","",IFERROR(TEXTJOIN(", ",TRUE,UNIQUE(FILTER(Schedule!$D$2:$D50000,Schedule!$G$2:$G50000=$A135,Schedule!$P$2:$P50000&gt;0,((Schedule!$U$2:$U50000=$B$2)+(Schedule!$U$2:$U50000=$C$2))))),""))</f>
        <v/>
      </c>
    </row>
    <row r="136">
      <c r="B136">
        <f>IF($A136="","",SUMIFS(Schedule!$P:$P,Schedule!$G:$G,$A136,Schedule!$U:$U,$B$2)+SUMIFS('TL Schedule'!$J:$J,'TL Schedule'!$C:$C,$A136,'TL Schedule'!$K:$K,$B$2))</f>
        <v/>
      </c>
      <c r="C136">
        <f>IF($A136="","",SUMIFS(Schedule!$P:$P,Schedule!$G:$G,$A136,Schedule!$U:$U,$C$2)+SUMIFS('TL Schedule'!$J:$J,'TL Schedule'!$C:$C,$A136,'TL Schedule'!$K:$K,$C$2))</f>
        <v/>
      </c>
      <c r="D136">
        <f>IF($A136="","",B136+C136)</f>
        <v/>
      </c>
      <c r="E136">
        <f>IF($A136="","",SUMIFS(Overtime!$H:$H,Overtime!$B:$B,$A136,Overtime!$N:$N,$B$2)+SUMIFS(Overtime!$H:$H,Overtime!$B:$B,$A136,Overtime!$N:$N,$C$2))</f>
        <v/>
      </c>
      <c r="F136">
        <f>IF($A136="","",SUMIFS('Death Penalty'!$E:$E,'Death Penalty'!$B:$B,$A136,'Death Penalty'!$L:$L,$B$2)+SUMIFS('Death Penalty'!$E:$E,'Death Penalty'!$B:$B,$A136,'Death Penalty'!$L:$L,$C$2))</f>
        <v/>
      </c>
      <c r="G136">
        <f>IF($A136="","",D136+E136-F136)</f>
        <v/>
      </c>
      <c r="H136">
        <f>IF($A136="","",SUMIFS(Incentives!$H:$H,Incentives!$B:$B,$A136,Incentives!$N:$N,$B$2)+SUMIFS(Incentives!$H:$H,Incentives!$B:$B,$A136,Incentives!$N:$N,$C$2))</f>
        <v/>
      </c>
      <c r="I136">
        <f>IF($A136="","",COUNTIFS(Schedule!$G:$G,$A136,Schedule!$U:$U,$B$2,Schedule!$P:$P,"&gt;0")+COUNTIFS('TL Schedule'!$C:$C,$A136,'TL Schedule'!$K:$K,$B$2,'TL Schedule'!$J:$J,"&gt;0")+COUNTIFS(Schedule!$G:$G,$A136,Schedule!$U:$U,$C$2,Schedule!$P:$P,"&gt;0")+COUNTIFS('TL Schedule'!$C:$C,$A136,'TL Schedule'!$K:$K,$C$2,'TL Schedule'!$J:$J,"&gt;0"))</f>
        <v/>
      </c>
      <c r="J136">
        <f>IF($A136="","",IFERROR(TEXTJOIN(", ",TRUE,UNIQUE(FILTER(Schedule!$D$2:$D50000,Schedule!$G$2:$G50000=$A136,Schedule!$P$2:$P50000&gt;0,((Schedule!$U$2:$U50000=$B$2)+(Schedule!$U$2:$U50000=$C$2))))),""))</f>
        <v/>
      </c>
    </row>
    <row r="137">
      <c r="B137">
        <f>IF($A137="","",SUMIFS(Schedule!$P:$P,Schedule!$G:$G,$A137,Schedule!$U:$U,$B$2)+SUMIFS('TL Schedule'!$J:$J,'TL Schedule'!$C:$C,$A137,'TL Schedule'!$K:$K,$B$2))</f>
        <v/>
      </c>
      <c r="C137">
        <f>IF($A137="","",SUMIFS(Schedule!$P:$P,Schedule!$G:$G,$A137,Schedule!$U:$U,$C$2)+SUMIFS('TL Schedule'!$J:$J,'TL Schedule'!$C:$C,$A137,'TL Schedule'!$K:$K,$C$2))</f>
        <v/>
      </c>
      <c r="D137">
        <f>IF($A137="","",B137+C137)</f>
        <v/>
      </c>
      <c r="E137">
        <f>IF($A137="","",SUMIFS(Overtime!$H:$H,Overtime!$B:$B,$A137,Overtime!$N:$N,$B$2)+SUMIFS(Overtime!$H:$H,Overtime!$B:$B,$A137,Overtime!$N:$N,$C$2))</f>
        <v/>
      </c>
      <c r="F137">
        <f>IF($A137="","",SUMIFS('Death Penalty'!$E:$E,'Death Penalty'!$B:$B,$A137,'Death Penalty'!$L:$L,$B$2)+SUMIFS('Death Penalty'!$E:$E,'Death Penalty'!$B:$B,$A137,'Death Penalty'!$L:$L,$C$2))</f>
        <v/>
      </c>
      <c r="G137">
        <f>IF($A137="","",D137+E137-F137)</f>
        <v/>
      </c>
      <c r="H137">
        <f>IF($A137="","",SUMIFS(Incentives!$H:$H,Incentives!$B:$B,$A137,Incentives!$N:$N,$B$2)+SUMIFS(Incentives!$H:$H,Incentives!$B:$B,$A137,Incentives!$N:$N,$C$2))</f>
        <v/>
      </c>
      <c r="I137">
        <f>IF($A137="","",COUNTIFS(Schedule!$G:$G,$A137,Schedule!$U:$U,$B$2,Schedule!$P:$P,"&gt;0")+COUNTIFS('TL Schedule'!$C:$C,$A137,'TL Schedule'!$K:$K,$B$2,'TL Schedule'!$J:$J,"&gt;0")+COUNTIFS(Schedule!$G:$G,$A137,Schedule!$U:$U,$C$2,Schedule!$P:$P,"&gt;0")+COUNTIFS('TL Schedule'!$C:$C,$A137,'TL Schedule'!$K:$K,$C$2,'TL Schedule'!$J:$J,"&gt;0"))</f>
        <v/>
      </c>
      <c r="J137">
        <f>IF($A137="","",IFERROR(TEXTJOIN(", ",TRUE,UNIQUE(FILTER(Schedule!$D$2:$D50000,Schedule!$G$2:$G50000=$A137,Schedule!$P$2:$P50000&gt;0,((Schedule!$U$2:$U50000=$B$2)+(Schedule!$U$2:$U50000=$C$2))))),""))</f>
        <v/>
      </c>
    </row>
    <row r="138">
      <c r="B138">
        <f>IF($A138="","",SUMIFS(Schedule!$P:$P,Schedule!$G:$G,$A138,Schedule!$U:$U,$B$2)+SUMIFS('TL Schedule'!$J:$J,'TL Schedule'!$C:$C,$A138,'TL Schedule'!$K:$K,$B$2))</f>
        <v/>
      </c>
      <c r="C138">
        <f>IF($A138="","",SUMIFS(Schedule!$P:$P,Schedule!$G:$G,$A138,Schedule!$U:$U,$C$2)+SUMIFS('TL Schedule'!$J:$J,'TL Schedule'!$C:$C,$A138,'TL Schedule'!$K:$K,$C$2))</f>
        <v/>
      </c>
      <c r="D138">
        <f>IF($A138="","",B138+C138)</f>
        <v/>
      </c>
      <c r="E138">
        <f>IF($A138="","",SUMIFS(Overtime!$H:$H,Overtime!$B:$B,$A138,Overtime!$N:$N,$B$2)+SUMIFS(Overtime!$H:$H,Overtime!$B:$B,$A138,Overtime!$N:$N,$C$2))</f>
        <v/>
      </c>
      <c r="F138">
        <f>IF($A138="","",SUMIFS('Death Penalty'!$E:$E,'Death Penalty'!$B:$B,$A138,'Death Penalty'!$L:$L,$B$2)+SUMIFS('Death Penalty'!$E:$E,'Death Penalty'!$B:$B,$A138,'Death Penalty'!$L:$L,$C$2))</f>
        <v/>
      </c>
      <c r="G138">
        <f>IF($A138="","",D138+E138-F138)</f>
        <v/>
      </c>
      <c r="H138">
        <f>IF($A138="","",SUMIFS(Incentives!$H:$H,Incentives!$B:$B,$A138,Incentives!$N:$N,$B$2)+SUMIFS(Incentives!$H:$H,Incentives!$B:$B,$A138,Incentives!$N:$N,$C$2))</f>
        <v/>
      </c>
      <c r="I138">
        <f>IF($A138="","",COUNTIFS(Schedule!$G:$G,$A138,Schedule!$U:$U,$B$2,Schedule!$P:$P,"&gt;0")+COUNTIFS('TL Schedule'!$C:$C,$A138,'TL Schedule'!$K:$K,$B$2,'TL Schedule'!$J:$J,"&gt;0")+COUNTIFS(Schedule!$G:$G,$A138,Schedule!$U:$U,$C$2,Schedule!$P:$P,"&gt;0")+COUNTIFS('TL Schedule'!$C:$C,$A138,'TL Schedule'!$K:$K,$C$2,'TL Schedule'!$J:$J,"&gt;0"))</f>
        <v/>
      </c>
      <c r="J138">
        <f>IF($A138="","",IFERROR(TEXTJOIN(", ",TRUE,UNIQUE(FILTER(Schedule!$D$2:$D50000,Schedule!$G$2:$G50000=$A138,Schedule!$P$2:$P50000&gt;0,((Schedule!$U$2:$U50000=$B$2)+(Schedule!$U$2:$U50000=$C$2))))),""))</f>
        <v/>
      </c>
    </row>
    <row r="139">
      <c r="B139">
        <f>IF($A139="","",SUMIFS(Schedule!$P:$P,Schedule!$G:$G,$A139,Schedule!$U:$U,$B$2)+SUMIFS('TL Schedule'!$J:$J,'TL Schedule'!$C:$C,$A139,'TL Schedule'!$K:$K,$B$2))</f>
        <v/>
      </c>
      <c r="C139">
        <f>IF($A139="","",SUMIFS(Schedule!$P:$P,Schedule!$G:$G,$A139,Schedule!$U:$U,$C$2)+SUMIFS('TL Schedule'!$J:$J,'TL Schedule'!$C:$C,$A139,'TL Schedule'!$K:$K,$C$2))</f>
        <v/>
      </c>
      <c r="D139">
        <f>IF($A139="","",B139+C139)</f>
        <v/>
      </c>
      <c r="E139">
        <f>IF($A139="","",SUMIFS(Overtime!$H:$H,Overtime!$B:$B,$A139,Overtime!$N:$N,$B$2)+SUMIFS(Overtime!$H:$H,Overtime!$B:$B,$A139,Overtime!$N:$N,$C$2))</f>
        <v/>
      </c>
      <c r="F139">
        <f>IF($A139="","",SUMIFS('Death Penalty'!$E:$E,'Death Penalty'!$B:$B,$A139,'Death Penalty'!$L:$L,$B$2)+SUMIFS('Death Penalty'!$E:$E,'Death Penalty'!$B:$B,$A139,'Death Penalty'!$L:$L,$C$2))</f>
        <v/>
      </c>
      <c r="G139">
        <f>IF($A139="","",D139+E139-F139)</f>
        <v/>
      </c>
      <c r="H139">
        <f>IF($A139="","",SUMIFS(Incentives!$H:$H,Incentives!$B:$B,$A139,Incentives!$N:$N,$B$2)+SUMIFS(Incentives!$H:$H,Incentives!$B:$B,$A139,Incentives!$N:$N,$C$2))</f>
        <v/>
      </c>
      <c r="I139">
        <f>IF($A139="","",COUNTIFS(Schedule!$G:$G,$A139,Schedule!$U:$U,$B$2,Schedule!$P:$P,"&gt;0")+COUNTIFS('TL Schedule'!$C:$C,$A139,'TL Schedule'!$K:$K,$B$2,'TL Schedule'!$J:$J,"&gt;0")+COUNTIFS(Schedule!$G:$G,$A139,Schedule!$U:$U,$C$2,Schedule!$P:$P,"&gt;0")+COUNTIFS('TL Schedule'!$C:$C,$A139,'TL Schedule'!$K:$K,$C$2,'TL Schedule'!$J:$J,"&gt;0"))</f>
        <v/>
      </c>
      <c r="J139">
        <f>IF($A139="","",IFERROR(TEXTJOIN(", ",TRUE,UNIQUE(FILTER(Schedule!$D$2:$D50000,Schedule!$G$2:$G50000=$A139,Schedule!$P$2:$P50000&gt;0,((Schedule!$U$2:$U50000=$B$2)+(Schedule!$U$2:$U50000=$C$2))))),""))</f>
        <v/>
      </c>
    </row>
    <row r="140">
      <c r="B140">
        <f>IF($A140="","",SUMIFS(Schedule!$P:$P,Schedule!$G:$G,$A140,Schedule!$U:$U,$B$2)+SUMIFS('TL Schedule'!$J:$J,'TL Schedule'!$C:$C,$A140,'TL Schedule'!$K:$K,$B$2))</f>
        <v/>
      </c>
      <c r="C140">
        <f>IF($A140="","",SUMIFS(Schedule!$P:$P,Schedule!$G:$G,$A140,Schedule!$U:$U,$C$2)+SUMIFS('TL Schedule'!$J:$J,'TL Schedule'!$C:$C,$A140,'TL Schedule'!$K:$K,$C$2))</f>
        <v/>
      </c>
      <c r="D140">
        <f>IF($A140="","",B140+C140)</f>
        <v/>
      </c>
      <c r="E140">
        <f>IF($A140="","",SUMIFS(Overtime!$H:$H,Overtime!$B:$B,$A140,Overtime!$N:$N,$B$2)+SUMIFS(Overtime!$H:$H,Overtime!$B:$B,$A140,Overtime!$N:$N,$C$2))</f>
        <v/>
      </c>
      <c r="F140">
        <f>IF($A140="","",SUMIFS('Death Penalty'!$E:$E,'Death Penalty'!$B:$B,$A140,'Death Penalty'!$L:$L,$B$2)+SUMIFS('Death Penalty'!$E:$E,'Death Penalty'!$B:$B,$A140,'Death Penalty'!$L:$L,$C$2))</f>
        <v/>
      </c>
      <c r="G140">
        <f>IF($A140="","",D140+E140-F140)</f>
        <v/>
      </c>
      <c r="H140">
        <f>IF($A140="","",SUMIFS(Incentives!$H:$H,Incentives!$B:$B,$A140,Incentives!$N:$N,$B$2)+SUMIFS(Incentives!$H:$H,Incentives!$B:$B,$A140,Incentives!$N:$N,$C$2))</f>
        <v/>
      </c>
      <c r="I140">
        <f>IF($A140="","",COUNTIFS(Schedule!$G:$G,$A140,Schedule!$U:$U,$B$2,Schedule!$P:$P,"&gt;0")+COUNTIFS('TL Schedule'!$C:$C,$A140,'TL Schedule'!$K:$K,$B$2,'TL Schedule'!$J:$J,"&gt;0")+COUNTIFS(Schedule!$G:$G,$A140,Schedule!$U:$U,$C$2,Schedule!$P:$P,"&gt;0")+COUNTIFS('TL Schedule'!$C:$C,$A140,'TL Schedule'!$K:$K,$C$2,'TL Schedule'!$J:$J,"&gt;0"))</f>
        <v/>
      </c>
      <c r="J140">
        <f>IF($A140="","",IFERROR(TEXTJOIN(", ",TRUE,UNIQUE(FILTER(Schedule!$D$2:$D50000,Schedule!$G$2:$G50000=$A140,Schedule!$P$2:$P50000&gt;0,((Schedule!$U$2:$U50000=$B$2)+(Schedule!$U$2:$U50000=$C$2))))),""))</f>
        <v/>
      </c>
    </row>
    <row r="141">
      <c r="B141">
        <f>IF($A141="","",SUMIFS(Schedule!$P:$P,Schedule!$G:$G,$A141,Schedule!$U:$U,$B$2)+SUMIFS('TL Schedule'!$J:$J,'TL Schedule'!$C:$C,$A141,'TL Schedule'!$K:$K,$B$2))</f>
        <v/>
      </c>
      <c r="C141">
        <f>IF($A141="","",SUMIFS(Schedule!$P:$P,Schedule!$G:$G,$A141,Schedule!$U:$U,$C$2)+SUMIFS('TL Schedule'!$J:$J,'TL Schedule'!$C:$C,$A141,'TL Schedule'!$K:$K,$C$2))</f>
        <v/>
      </c>
      <c r="D141">
        <f>IF($A141="","",B141+C141)</f>
        <v/>
      </c>
      <c r="E141">
        <f>IF($A141="","",SUMIFS(Overtime!$H:$H,Overtime!$B:$B,$A141,Overtime!$N:$N,$B$2)+SUMIFS(Overtime!$H:$H,Overtime!$B:$B,$A141,Overtime!$N:$N,$C$2))</f>
        <v/>
      </c>
      <c r="F141">
        <f>IF($A141="","",SUMIFS('Death Penalty'!$E:$E,'Death Penalty'!$B:$B,$A141,'Death Penalty'!$L:$L,$B$2)+SUMIFS('Death Penalty'!$E:$E,'Death Penalty'!$B:$B,$A141,'Death Penalty'!$L:$L,$C$2))</f>
        <v/>
      </c>
      <c r="G141">
        <f>IF($A141="","",D141+E141-F141)</f>
        <v/>
      </c>
      <c r="H141">
        <f>IF($A141="","",SUMIFS(Incentives!$H:$H,Incentives!$B:$B,$A141,Incentives!$N:$N,$B$2)+SUMIFS(Incentives!$H:$H,Incentives!$B:$B,$A141,Incentives!$N:$N,$C$2))</f>
        <v/>
      </c>
      <c r="I141">
        <f>IF($A141="","",COUNTIFS(Schedule!$G:$G,$A141,Schedule!$U:$U,$B$2,Schedule!$P:$P,"&gt;0")+COUNTIFS('TL Schedule'!$C:$C,$A141,'TL Schedule'!$K:$K,$B$2,'TL Schedule'!$J:$J,"&gt;0")+COUNTIFS(Schedule!$G:$G,$A141,Schedule!$U:$U,$C$2,Schedule!$P:$P,"&gt;0")+COUNTIFS('TL Schedule'!$C:$C,$A141,'TL Schedule'!$K:$K,$C$2,'TL Schedule'!$J:$J,"&gt;0"))</f>
        <v/>
      </c>
      <c r="J141">
        <f>IF($A141="","",IFERROR(TEXTJOIN(", ",TRUE,UNIQUE(FILTER(Schedule!$D$2:$D50000,Schedule!$G$2:$G50000=$A141,Schedule!$P$2:$P50000&gt;0,((Schedule!$U$2:$U50000=$B$2)+(Schedule!$U$2:$U50000=$C$2))))),""))</f>
        <v/>
      </c>
    </row>
    <row r="142">
      <c r="B142">
        <f>IF($A142="","",SUMIFS(Schedule!$P:$P,Schedule!$G:$G,$A142,Schedule!$U:$U,$B$2)+SUMIFS('TL Schedule'!$J:$J,'TL Schedule'!$C:$C,$A142,'TL Schedule'!$K:$K,$B$2))</f>
        <v/>
      </c>
      <c r="C142">
        <f>IF($A142="","",SUMIFS(Schedule!$P:$P,Schedule!$G:$G,$A142,Schedule!$U:$U,$C$2)+SUMIFS('TL Schedule'!$J:$J,'TL Schedule'!$C:$C,$A142,'TL Schedule'!$K:$K,$C$2))</f>
        <v/>
      </c>
      <c r="D142">
        <f>IF($A142="","",B142+C142)</f>
        <v/>
      </c>
      <c r="E142">
        <f>IF($A142="","",SUMIFS(Overtime!$H:$H,Overtime!$B:$B,$A142,Overtime!$N:$N,$B$2)+SUMIFS(Overtime!$H:$H,Overtime!$B:$B,$A142,Overtime!$N:$N,$C$2))</f>
        <v/>
      </c>
      <c r="F142">
        <f>IF($A142="","",SUMIFS('Death Penalty'!$E:$E,'Death Penalty'!$B:$B,$A142,'Death Penalty'!$L:$L,$B$2)+SUMIFS('Death Penalty'!$E:$E,'Death Penalty'!$B:$B,$A142,'Death Penalty'!$L:$L,$C$2))</f>
        <v/>
      </c>
      <c r="G142">
        <f>IF($A142="","",D142+E142-F142)</f>
        <v/>
      </c>
      <c r="H142">
        <f>IF($A142="","",SUMIFS(Incentives!$H:$H,Incentives!$B:$B,$A142,Incentives!$N:$N,$B$2)+SUMIFS(Incentives!$H:$H,Incentives!$B:$B,$A142,Incentives!$N:$N,$C$2))</f>
        <v/>
      </c>
      <c r="I142">
        <f>IF($A142="","",COUNTIFS(Schedule!$G:$G,$A142,Schedule!$U:$U,$B$2,Schedule!$P:$P,"&gt;0")+COUNTIFS('TL Schedule'!$C:$C,$A142,'TL Schedule'!$K:$K,$B$2,'TL Schedule'!$J:$J,"&gt;0")+COUNTIFS(Schedule!$G:$G,$A142,Schedule!$U:$U,$C$2,Schedule!$P:$P,"&gt;0")+COUNTIFS('TL Schedule'!$C:$C,$A142,'TL Schedule'!$K:$K,$C$2,'TL Schedule'!$J:$J,"&gt;0"))</f>
        <v/>
      </c>
      <c r="J142">
        <f>IF($A142="","",IFERROR(TEXTJOIN(", ",TRUE,UNIQUE(FILTER(Schedule!$D$2:$D50000,Schedule!$G$2:$G50000=$A142,Schedule!$P$2:$P50000&gt;0,((Schedule!$U$2:$U50000=$B$2)+(Schedule!$U$2:$U50000=$C$2))))),""))</f>
        <v/>
      </c>
    </row>
    <row r="143">
      <c r="B143">
        <f>IF($A143="","",SUMIFS(Schedule!$P:$P,Schedule!$G:$G,$A143,Schedule!$U:$U,$B$2)+SUMIFS('TL Schedule'!$J:$J,'TL Schedule'!$C:$C,$A143,'TL Schedule'!$K:$K,$B$2))</f>
        <v/>
      </c>
      <c r="C143">
        <f>IF($A143="","",SUMIFS(Schedule!$P:$P,Schedule!$G:$G,$A143,Schedule!$U:$U,$C$2)+SUMIFS('TL Schedule'!$J:$J,'TL Schedule'!$C:$C,$A143,'TL Schedule'!$K:$K,$C$2))</f>
        <v/>
      </c>
      <c r="D143">
        <f>IF($A143="","",B143+C143)</f>
        <v/>
      </c>
      <c r="E143">
        <f>IF($A143="","",SUMIFS(Overtime!$H:$H,Overtime!$B:$B,$A143,Overtime!$N:$N,$B$2)+SUMIFS(Overtime!$H:$H,Overtime!$B:$B,$A143,Overtime!$N:$N,$C$2))</f>
        <v/>
      </c>
      <c r="F143">
        <f>IF($A143="","",SUMIFS('Death Penalty'!$E:$E,'Death Penalty'!$B:$B,$A143,'Death Penalty'!$L:$L,$B$2)+SUMIFS('Death Penalty'!$E:$E,'Death Penalty'!$B:$B,$A143,'Death Penalty'!$L:$L,$C$2))</f>
        <v/>
      </c>
      <c r="G143">
        <f>IF($A143="","",D143+E143-F143)</f>
        <v/>
      </c>
      <c r="H143">
        <f>IF($A143="","",SUMIFS(Incentives!$H:$H,Incentives!$B:$B,$A143,Incentives!$N:$N,$B$2)+SUMIFS(Incentives!$H:$H,Incentives!$B:$B,$A143,Incentives!$N:$N,$C$2))</f>
        <v/>
      </c>
      <c r="I143">
        <f>IF($A143="","",COUNTIFS(Schedule!$G:$G,$A143,Schedule!$U:$U,$B$2,Schedule!$P:$P,"&gt;0")+COUNTIFS('TL Schedule'!$C:$C,$A143,'TL Schedule'!$K:$K,$B$2,'TL Schedule'!$J:$J,"&gt;0")+COUNTIFS(Schedule!$G:$G,$A143,Schedule!$U:$U,$C$2,Schedule!$P:$P,"&gt;0")+COUNTIFS('TL Schedule'!$C:$C,$A143,'TL Schedule'!$K:$K,$C$2,'TL Schedule'!$J:$J,"&gt;0"))</f>
        <v/>
      </c>
      <c r="J143">
        <f>IF($A143="","",IFERROR(TEXTJOIN(", ",TRUE,UNIQUE(FILTER(Schedule!$D$2:$D50000,Schedule!$G$2:$G50000=$A143,Schedule!$P$2:$P50000&gt;0,((Schedule!$U$2:$U50000=$B$2)+(Schedule!$U$2:$U50000=$C$2))))),""))</f>
        <v/>
      </c>
    </row>
    <row r="144">
      <c r="B144">
        <f>IF($A144="","",SUMIFS(Schedule!$P:$P,Schedule!$G:$G,$A144,Schedule!$U:$U,$B$2)+SUMIFS('TL Schedule'!$J:$J,'TL Schedule'!$C:$C,$A144,'TL Schedule'!$K:$K,$B$2))</f>
        <v/>
      </c>
      <c r="C144">
        <f>IF($A144="","",SUMIFS(Schedule!$P:$P,Schedule!$G:$G,$A144,Schedule!$U:$U,$C$2)+SUMIFS('TL Schedule'!$J:$J,'TL Schedule'!$C:$C,$A144,'TL Schedule'!$K:$K,$C$2))</f>
        <v/>
      </c>
      <c r="D144">
        <f>IF($A144="","",B144+C144)</f>
        <v/>
      </c>
      <c r="E144">
        <f>IF($A144="","",SUMIFS(Overtime!$H:$H,Overtime!$B:$B,$A144,Overtime!$N:$N,$B$2)+SUMIFS(Overtime!$H:$H,Overtime!$B:$B,$A144,Overtime!$N:$N,$C$2))</f>
        <v/>
      </c>
      <c r="F144">
        <f>IF($A144="","",SUMIFS('Death Penalty'!$E:$E,'Death Penalty'!$B:$B,$A144,'Death Penalty'!$L:$L,$B$2)+SUMIFS('Death Penalty'!$E:$E,'Death Penalty'!$B:$B,$A144,'Death Penalty'!$L:$L,$C$2))</f>
        <v/>
      </c>
      <c r="G144">
        <f>IF($A144="","",D144+E144-F144)</f>
        <v/>
      </c>
      <c r="H144">
        <f>IF($A144="","",SUMIFS(Incentives!$H:$H,Incentives!$B:$B,$A144,Incentives!$N:$N,$B$2)+SUMIFS(Incentives!$H:$H,Incentives!$B:$B,$A144,Incentives!$N:$N,$C$2))</f>
        <v/>
      </c>
      <c r="I144">
        <f>IF($A144="","",COUNTIFS(Schedule!$G:$G,$A144,Schedule!$U:$U,$B$2,Schedule!$P:$P,"&gt;0")+COUNTIFS('TL Schedule'!$C:$C,$A144,'TL Schedule'!$K:$K,$B$2,'TL Schedule'!$J:$J,"&gt;0")+COUNTIFS(Schedule!$G:$G,$A144,Schedule!$U:$U,$C$2,Schedule!$P:$P,"&gt;0")+COUNTIFS('TL Schedule'!$C:$C,$A144,'TL Schedule'!$K:$K,$C$2,'TL Schedule'!$J:$J,"&gt;0"))</f>
        <v/>
      </c>
      <c r="J144">
        <f>IF($A144="","",IFERROR(TEXTJOIN(", ",TRUE,UNIQUE(FILTER(Schedule!$D$2:$D50000,Schedule!$G$2:$G50000=$A144,Schedule!$P$2:$P50000&gt;0,((Schedule!$U$2:$U50000=$B$2)+(Schedule!$U$2:$U50000=$C$2))))),""))</f>
        <v/>
      </c>
    </row>
    <row r="145">
      <c r="B145">
        <f>IF($A145="","",SUMIFS(Schedule!$P:$P,Schedule!$G:$G,$A145,Schedule!$U:$U,$B$2)+SUMIFS('TL Schedule'!$J:$J,'TL Schedule'!$C:$C,$A145,'TL Schedule'!$K:$K,$B$2))</f>
        <v/>
      </c>
      <c r="C145">
        <f>IF($A145="","",SUMIFS(Schedule!$P:$P,Schedule!$G:$G,$A145,Schedule!$U:$U,$C$2)+SUMIFS('TL Schedule'!$J:$J,'TL Schedule'!$C:$C,$A145,'TL Schedule'!$K:$K,$C$2))</f>
        <v/>
      </c>
      <c r="D145">
        <f>IF($A145="","",B145+C145)</f>
        <v/>
      </c>
      <c r="E145">
        <f>IF($A145="","",SUMIFS(Overtime!$H:$H,Overtime!$B:$B,$A145,Overtime!$N:$N,$B$2)+SUMIFS(Overtime!$H:$H,Overtime!$B:$B,$A145,Overtime!$N:$N,$C$2))</f>
        <v/>
      </c>
      <c r="F145">
        <f>IF($A145="","",SUMIFS('Death Penalty'!$E:$E,'Death Penalty'!$B:$B,$A145,'Death Penalty'!$L:$L,$B$2)+SUMIFS('Death Penalty'!$E:$E,'Death Penalty'!$B:$B,$A145,'Death Penalty'!$L:$L,$C$2))</f>
        <v/>
      </c>
      <c r="G145">
        <f>IF($A145="","",D145+E145-F145)</f>
        <v/>
      </c>
      <c r="H145">
        <f>IF($A145="","",SUMIFS(Incentives!$H:$H,Incentives!$B:$B,$A145,Incentives!$N:$N,$B$2)+SUMIFS(Incentives!$H:$H,Incentives!$B:$B,$A145,Incentives!$N:$N,$C$2))</f>
        <v/>
      </c>
      <c r="I145">
        <f>IF($A145="","",COUNTIFS(Schedule!$G:$G,$A145,Schedule!$U:$U,$B$2,Schedule!$P:$P,"&gt;0")+COUNTIFS('TL Schedule'!$C:$C,$A145,'TL Schedule'!$K:$K,$B$2,'TL Schedule'!$J:$J,"&gt;0")+COUNTIFS(Schedule!$G:$G,$A145,Schedule!$U:$U,$C$2,Schedule!$P:$P,"&gt;0")+COUNTIFS('TL Schedule'!$C:$C,$A145,'TL Schedule'!$K:$K,$C$2,'TL Schedule'!$J:$J,"&gt;0"))</f>
        <v/>
      </c>
      <c r="J145">
        <f>IF($A145="","",IFERROR(TEXTJOIN(", ",TRUE,UNIQUE(FILTER(Schedule!$D$2:$D50000,Schedule!$G$2:$G50000=$A145,Schedule!$P$2:$P50000&gt;0,((Schedule!$U$2:$U50000=$B$2)+(Schedule!$U$2:$U50000=$C$2))))),""))</f>
        <v/>
      </c>
    </row>
    <row r="146">
      <c r="B146">
        <f>IF($A146="","",SUMIFS(Schedule!$P:$P,Schedule!$G:$G,$A146,Schedule!$U:$U,$B$2)+SUMIFS('TL Schedule'!$J:$J,'TL Schedule'!$C:$C,$A146,'TL Schedule'!$K:$K,$B$2))</f>
        <v/>
      </c>
      <c r="C146">
        <f>IF($A146="","",SUMIFS(Schedule!$P:$P,Schedule!$G:$G,$A146,Schedule!$U:$U,$C$2)+SUMIFS('TL Schedule'!$J:$J,'TL Schedule'!$C:$C,$A146,'TL Schedule'!$K:$K,$C$2))</f>
        <v/>
      </c>
      <c r="D146">
        <f>IF($A146="","",B146+C146)</f>
        <v/>
      </c>
      <c r="E146">
        <f>IF($A146="","",SUMIFS(Overtime!$H:$H,Overtime!$B:$B,$A146,Overtime!$N:$N,$B$2)+SUMIFS(Overtime!$H:$H,Overtime!$B:$B,$A146,Overtime!$N:$N,$C$2))</f>
        <v/>
      </c>
      <c r="F146">
        <f>IF($A146="","",SUMIFS('Death Penalty'!$E:$E,'Death Penalty'!$B:$B,$A146,'Death Penalty'!$L:$L,$B$2)+SUMIFS('Death Penalty'!$E:$E,'Death Penalty'!$B:$B,$A146,'Death Penalty'!$L:$L,$C$2))</f>
        <v/>
      </c>
      <c r="G146">
        <f>IF($A146="","",D146+E146-F146)</f>
        <v/>
      </c>
      <c r="H146">
        <f>IF($A146="","",SUMIFS(Incentives!$H:$H,Incentives!$B:$B,$A146,Incentives!$N:$N,$B$2)+SUMIFS(Incentives!$H:$H,Incentives!$B:$B,$A146,Incentives!$N:$N,$C$2))</f>
        <v/>
      </c>
      <c r="I146">
        <f>IF($A146="","",COUNTIFS(Schedule!$G:$G,$A146,Schedule!$U:$U,$B$2,Schedule!$P:$P,"&gt;0")+COUNTIFS('TL Schedule'!$C:$C,$A146,'TL Schedule'!$K:$K,$B$2,'TL Schedule'!$J:$J,"&gt;0")+COUNTIFS(Schedule!$G:$G,$A146,Schedule!$U:$U,$C$2,Schedule!$P:$P,"&gt;0")+COUNTIFS('TL Schedule'!$C:$C,$A146,'TL Schedule'!$K:$K,$C$2,'TL Schedule'!$J:$J,"&gt;0"))</f>
        <v/>
      </c>
      <c r="J146">
        <f>IF($A146="","",IFERROR(TEXTJOIN(", ",TRUE,UNIQUE(FILTER(Schedule!$D$2:$D50000,Schedule!$G$2:$G50000=$A146,Schedule!$P$2:$P50000&gt;0,((Schedule!$U$2:$U50000=$B$2)+(Schedule!$U$2:$U50000=$C$2))))),""))</f>
        <v/>
      </c>
    </row>
    <row r="147">
      <c r="B147">
        <f>IF($A147="","",SUMIFS(Schedule!$P:$P,Schedule!$G:$G,$A147,Schedule!$U:$U,$B$2)+SUMIFS('TL Schedule'!$J:$J,'TL Schedule'!$C:$C,$A147,'TL Schedule'!$K:$K,$B$2))</f>
        <v/>
      </c>
      <c r="C147">
        <f>IF($A147="","",SUMIFS(Schedule!$P:$P,Schedule!$G:$G,$A147,Schedule!$U:$U,$C$2)+SUMIFS('TL Schedule'!$J:$J,'TL Schedule'!$C:$C,$A147,'TL Schedule'!$K:$K,$C$2))</f>
        <v/>
      </c>
      <c r="D147">
        <f>IF($A147="","",B147+C147)</f>
        <v/>
      </c>
      <c r="E147">
        <f>IF($A147="","",SUMIFS(Overtime!$H:$H,Overtime!$B:$B,$A147,Overtime!$N:$N,$B$2)+SUMIFS(Overtime!$H:$H,Overtime!$B:$B,$A147,Overtime!$N:$N,$C$2))</f>
        <v/>
      </c>
      <c r="F147">
        <f>IF($A147="","",SUMIFS('Death Penalty'!$E:$E,'Death Penalty'!$B:$B,$A147,'Death Penalty'!$L:$L,$B$2)+SUMIFS('Death Penalty'!$E:$E,'Death Penalty'!$B:$B,$A147,'Death Penalty'!$L:$L,$C$2))</f>
        <v/>
      </c>
      <c r="G147">
        <f>IF($A147="","",D147+E147-F147)</f>
        <v/>
      </c>
      <c r="H147">
        <f>IF($A147="","",SUMIFS(Incentives!$H:$H,Incentives!$B:$B,$A147,Incentives!$N:$N,$B$2)+SUMIFS(Incentives!$H:$H,Incentives!$B:$B,$A147,Incentives!$N:$N,$C$2))</f>
        <v/>
      </c>
      <c r="I147">
        <f>IF($A147="","",COUNTIFS(Schedule!$G:$G,$A147,Schedule!$U:$U,$B$2,Schedule!$P:$P,"&gt;0")+COUNTIFS('TL Schedule'!$C:$C,$A147,'TL Schedule'!$K:$K,$B$2,'TL Schedule'!$J:$J,"&gt;0")+COUNTIFS(Schedule!$G:$G,$A147,Schedule!$U:$U,$C$2,Schedule!$P:$P,"&gt;0")+COUNTIFS('TL Schedule'!$C:$C,$A147,'TL Schedule'!$K:$K,$C$2,'TL Schedule'!$J:$J,"&gt;0"))</f>
        <v/>
      </c>
      <c r="J147">
        <f>IF($A147="","",IFERROR(TEXTJOIN(", ",TRUE,UNIQUE(FILTER(Schedule!$D$2:$D50000,Schedule!$G$2:$G50000=$A147,Schedule!$P$2:$P50000&gt;0,((Schedule!$U$2:$U50000=$B$2)+(Schedule!$U$2:$U50000=$C$2))))),""))</f>
        <v/>
      </c>
    </row>
    <row r="148">
      <c r="B148">
        <f>IF($A148="","",SUMIFS(Schedule!$P:$P,Schedule!$G:$G,$A148,Schedule!$U:$U,$B$2)+SUMIFS('TL Schedule'!$J:$J,'TL Schedule'!$C:$C,$A148,'TL Schedule'!$K:$K,$B$2))</f>
        <v/>
      </c>
      <c r="C148">
        <f>IF($A148="","",SUMIFS(Schedule!$P:$P,Schedule!$G:$G,$A148,Schedule!$U:$U,$C$2)+SUMIFS('TL Schedule'!$J:$J,'TL Schedule'!$C:$C,$A148,'TL Schedule'!$K:$K,$C$2))</f>
        <v/>
      </c>
      <c r="D148">
        <f>IF($A148="","",B148+C148)</f>
        <v/>
      </c>
      <c r="E148">
        <f>IF($A148="","",SUMIFS(Overtime!$H:$H,Overtime!$B:$B,$A148,Overtime!$N:$N,$B$2)+SUMIFS(Overtime!$H:$H,Overtime!$B:$B,$A148,Overtime!$N:$N,$C$2))</f>
        <v/>
      </c>
      <c r="F148">
        <f>IF($A148="","",SUMIFS('Death Penalty'!$E:$E,'Death Penalty'!$B:$B,$A148,'Death Penalty'!$L:$L,$B$2)+SUMIFS('Death Penalty'!$E:$E,'Death Penalty'!$B:$B,$A148,'Death Penalty'!$L:$L,$C$2))</f>
        <v/>
      </c>
      <c r="G148">
        <f>IF($A148="","",D148+E148-F148)</f>
        <v/>
      </c>
      <c r="H148">
        <f>IF($A148="","",SUMIFS(Incentives!$H:$H,Incentives!$B:$B,$A148,Incentives!$N:$N,$B$2)+SUMIFS(Incentives!$H:$H,Incentives!$B:$B,$A148,Incentives!$N:$N,$C$2))</f>
        <v/>
      </c>
      <c r="I148">
        <f>IF($A148="","",COUNTIFS(Schedule!$G:$G,$A148,Schedule!$U:$U,$B$2,Schedule!$P:$P,"&gt;0")+COUNTIFS('TL Schedule'!$C:$C,$A148,'TL Schedule'!$K:$K,$B$2,'TL Schedule'!$J:$J,"&gt;0")+COUNTIFS(Schedule!$G:$G,$A148,Schedule!$U:$U,$C$2,Schedule!$P:$P,"&gt;0")+COUNTIFS('TL Schedule'!$C:$C,$A148,'TL Schedule'!$K:$K,$C$2,'TL Schedule'!$J:$J,"&gt;0"))</f>
        <v/>
      </c>
      <c r="J148">
        <f>IF($A148="","",IFERROR(TEXTJOIN(", ",TRUE,UNIQUE(FILTER(Schedule!$D$2:$D50000,Schedule!$G$2:$G50000=$A148,Schedule!$P$2:$P50000&gt;0,((Schedule!$U$2:$U50000=$B$2)+(Schedule!$U$2:$U50000=$C$2))))),""))</f>
        <v/>
      </c>
    </row>
    <row r="149">
      <c r="B149">
        <f>IF($A149="","",SUMIFS(Schedule!$P:$P,Schedule!$G:$G,$A149,Schedule!$U:$U,$B$2)+SUMIFS('TL Schedule'!$J:$J,'TL Schedule'!$C:$C,$A149,'TL Schedule'!$K:$K,$B$2))</f>
        <v/>
      </c>
      <c r="C149">
        <f>IF($A149="","",SUMIFS(Schedule!$P:$P,Schedule!$G:$G,$A149,Schedule!$U:$U,$C$2)+SUMIFS('TL Schedule'!$J:$J,'TL Schedule'!$C:$C,$A149,'TL Schedule'!$K:$K,$C$2))</f>
        <v/>
      </c>
      <c r="D149">
        <f>IF($A149="","",B149+C149)</f>
        <v/>
      </c>
      <c r="E149">
        <f>IF($A149="","",SUMIFS(Overtime!$H:$H,Overtime!$B:$B,$A149,Overtime!$N:$N,$B$2)+SUMIFS(Overtime!$H:$H,Overtime!$B:$B,$A149,Overtime!$N:$N,$C$2))</f>
        <v/>
      </c>
      <c r="F149">
        <f>IF($A149="","",SUMIFS('Death Penalty'!$E:$E,'Death Penalty'!$B:$B,$A149,'Death Penalty'!$L:$L,$B$2)+SUMIFS('Death Penalty'!$E:$E,'Death Penalty'!$B:$B,$A149,'Death Penalty'!$L:$L,$C$2))</f>
        <v/>
      </c>
      <c r="G149">
        <f>IF($A149="","",D149+E149-F149)</f>
        <v/>
      </c>
      <c r="H149">
        <f>IF($A149="","",SUMIFS(Incentives!$H:$H,Incentives!$B:$B,$A149,Incentives!$N:$N,$B$2)+SUMIFS(Incentives!$H:$H,Incentives!$B:$B,$A149,Incentives!$N:$N,$C$2))</f>
        <v/>
      </c>
      <c r="I149">
        <f>IF($A149="","",COUNTIFS(Schedule!$G:$G,$A149,Schedule!$U:$U,$B$2,Schedule!$P:$P,"&gt;0")+COUNTIFS('TL Schedule'!$C:$C,$A149,'TL Schedule'!$K:$K,$B$2,'TL Schedule'!$J:$J,"&gt;0")+COUNTIFS(Schedule!$G:$G,$A149,Schedule!$U:$U,$C$2,Schedule!$P:$P,"&gt;0")+COUNTIFS('TL Schedule'!$C:$C,$A149,'TL Schedule'!$K:$K,$C$2,'TL Schedule'!$J:$J,"&gt;0"))</f>
        <v/>
      </c>
      <c r="J149">
        <f>IF($A149="","",IFERROR(TEXTJOIN(", ",TRUE,UNIQUE(FILTER(Schedule!$D$2:$D50000,Schedule!$G$2:$G50000=$A149,Schedule!$P$2:$P50000&gt;0,((Schedule!$U$2:$U50000=$B$2)+(Schedule!$U$2:$U50000=$C$2))))),""))</f>
        <v/>
      </c>
    </row>
    <row r="150">
      <c r="B150">
        <f>IF($A150="","",SUMIFS(Schedule!$P:$P,Schedule!$G:$G,$A150,Schedule!$U:$U,$B$2)+SUMIFS('TL Schedule'!$J:$J,'TL Schedule'!$C:$C,$A150,'TL Schedule'!$K:$K,$B$2))</f>
        <v/>
      </c>
      <c r="C150">
        <f>IF($A150="","",SUMIFS(Schedule!$P:$P,Schedule!$G:$G,$A150,Schedule!$U:$U,$C$2)+SUMIFS('TL Schedule'!$J:$J,'TL Schedule'!$C:$C,$A150,'TL Schedule'!$K:$K,$C$2))</f>
        <v/>
      </c>
      <c r="D150">
        <f>IF($A150="","",B150+C150)</f>
        <v/>
      </c>
      <c r="E150">
        <f>IF($A150="","",SUMIFS(Overtime!$H:$H,Overtime!$B:$B,$A150,Overtime!$N:$N,$B$2)+SUMIFS(Overtime!$H:$H,Overtime!$B:$B,$A150,Overtime!$N:$N,$C$2))</f>
        <v/>
      </c>
      <c r="F150">
        <f>IF($A150="","",SUMIFS('Death Penalty'!$E:$E,'Death Penalty'!$B:$B,$A150,'Death Penalty'!$L:$L,$B$2)+SUMIFS('Death Penalty'!$E:$E,'Death Penalty'!$B:$B,$A150,'Death Penalty'!$L:$L,$C$2))</f>
        <v/>
      </c>
      <c r="G150">
        <f>IF($A150="","",D150+E150-F150)</f>
        <v/>
      </c>
      <c r="H150">
        <f>IF($A150="","",SUMIFS(Incentives!$H:$H,Incentives!$B:$B,$A150,Incentives!$N:$N,$B$2)+SUMIFS(Incentives!$H:$H,Incentives!$B:$B,$A150,Incentives!$N:$N,$C$2))</f>
        <v/>
      </c>
      <c r="I150">
        <f>IF($A150="","",COUNTIFS(Schedule!$G:$G,$A150,Schedule!$U:$U,$B$2,Schedule!$P:$P,"&gt;0")+COUNTIFS('TL Schedule'!$C:$C,$A150,'TL Schedule'!$K:$K,$B$2,'TL Schedule'!$J:$J,"&gt;0")+COUNTIFS(Schedule!$G:$G,$A150,Schedule!$U:$U,$C$2,Schedule!$P:$P,"&gt;0")+COUNTIFS('TL Schedule'!$C:$C,$A150,'TL Schedule'!$K:$K,$C$2,'TL Schedule'!$J:$J,"&gt;0"))</f>
        <v/>
      </c>
      <c r="J150">
        <f>IF($A150="","",IFERROR(TEXTJOIN(", ",TRUE,UNIQUE(FILTER(Schedule!$D$2:$D50000,Schedule!$G$2:$G50000=$A150,Schedule!$P$2:$P50000&gt;0,((Schedule!$U$2:$U50000=$B$2)+(Schedule!$U$2:$U50000=$C$2))))),""))</f>
        <v/>
      </c>
    </row>
    <row r="151">
      <c r="B151">
        <f>IF($A151="","",SUMIFS(Schedule!$P:$P,Schedule!$G:$G,$A151,Schedule!$U:$U,$B$2)+SUMIFS('TL Schedule'!$J:$J,'TL Schedule'!$C:$C,$A151,'TL Schedule'!$K:$K,$B$2))</f>
        <v/>
      </c>
      <c r="C151">
        <f>IF($A151="","",SUMIFS(Schedule!$P:$P,Schedule!$G:$G,$A151,Schedule!$U:$U,$C$2)+SUMIFS('TL Schedule'!$J:$J,'TL Schedule'!$C:$C,$A151,'TL Schedule'!$K:$K,$C$2))</f>
        <v/>
      </c>
      <c r="D151">
        <f>IF($A151="","",B151+C151)</f>
        <v/>
      </c>
      <c r="E151">
        <f>IF($A151="","",SUMIFS(Overtime!$H:$H,Overtime!$B:$B,$A151,Overtime!$N:$N,$B$2)+SUMIFS(Overtime!$H:$H,Overtime!$B:$B,$A151,Overtime!$N:$N,$C$2))</f>
        <v/>
      </c>
      <c r="F151">
        <f>IF($A151="","",SUMIFS('Death Penalty'!$E:$E,'Death Penalty'!$B:$B,$A151,'Death Penalty'!$L:$L,$B$2)+SUMIFS('Death Penalty'!$E:$E,'Death Penalty'!$B:$B,$A151,'Death Penalty'!$L:$L,$C$2))</f>
        <v/>
      </c>
      <c r="G151">
        <f>IF($A151="","",D151+E151-F151)</f>
        <v/>
      </c>
      <c r="H151">
        <f>IF($A151="","",SUMIFS(Incentives!$H:$H,Incentives!$B:$B,$A151,Incentives!$N:$N,$B$2)+SUMIFS(Incentives!$H:$H,Incentives!$B:$B,$A151,Incentives!$N:$N,$C$2))</f>
        <v/>
      </c>
      <c r="I151">
        <f>IF($A151="","",COUNTIFS(Schedule!$G:$G,$A151,Schedule!$U:$U,$B$2,Schedule!$P:$P,"&gt;0")+COUNTIFS('TL Schedule'!$C:$C,$A151,'TL Schedule'!$K:$K,$B$2,'TL Schedule'!$J:$J,"&gt;0")+COUNTIFS(Schedule!$G:$G,$A151,Schedule!$U:$U,$C$2,Schedule!$P:$P,"&gt;0")+COUNTIFS('TL Schedule'!$C:$C,$A151,'TL Schedule'!$K:$K,$C$2,'TL Schedule'!$J:$J,"&gt;0"))</f>
        <v/>
      </c>
      <c r="J151">
        <f>IF($A151="","",IFERROR(TEXTJOIN(", ",TRUE,UNIQUE(FILTER(Schedule!$D$2:$D50000,Schedule!$G$2:$G50000=$A151,Schedule!$P$2:$P50000&gt;0,((Schedule!$U$2:$U50000=$B$2)+(Schedule!$U$2:$U50000=$C$2))))),""))</f>
        <v/>
      </c>
    </row>
    <row r="152">
      <c r="B152">
        <f>IF($A152="","",SUMIFS(Schedule!$P:$P,Schedule!$G:$G,$A152,Schedule!$U:$U,$B$2)+SUMIFS('TL Schedule'!$J:$J,'TL Schedule'!$C:$C,$A152,'TL Schedule'!$K:$K,$B$2))</f>
        <v/>
      </c>
      <c r="C152">
        <f>IF($A152="","",SUMIFS(Schedule!$P:$P,Schedule!$G:$G,$A152,Schedule!$U:$U,$C$2)+SUMIFS('TL Schedule'!$J:$J,'TL Schedule'!$C:$C,$A152,'TL Schedule'!$K:$K,$C$2))</f>
        <v/>
      </c>
      <c r="D152">
        <f>IF($A152="","",B152+C152)</f>
        <v/>
      </c>
      <c r="E152">
        <f>IF($A152="","",SUMIFS(Overtime!$H:$H,Overtime!$B:$B,$A152,Overtime!$N:$N,$B$2)+SUMIFS(Overtime!$H:$H,Overtime!$B:$B,$A152,Overtime!$N:$N,$C$2))</f>
        <v/>
      </c>
      <c r="F152">
        <f>IF($A152="","",SUMIFS('Death Penalty'!$E:$E,'Death Penalty'!$B:$B,$A152,'Death Penalty'!$L:$L,$B$2)+SUMIFS('Death Penalty'!$E:$E,'Death Penalty'!$B:$B,$A152,'Death Penalty'!$L:$L,$C$2))</f>
        <v/>
      </c>
      <c r="G152">
        <f>IF($A152="","",D152+E152-F152)</f>
        <v/>
      </c>
      <c r="H152">
        <f>IF($A152="","",SUMIFS(Incentives!$H:$H,Incentives!$B:$B,$A152,Incentives!$N:$N,$B$2)+SUMIFS(Incentives!$H:$H,Incentives!$B:$B,$A152,Incentives!$N:$N,$C$2))</f>
        <v/>
      </c>
      <c r="I152">
        <f>IF($A152="","",COUNTIFS(Schedule!$G:$G,$A152,Schedule!$U:$U,$B$2,Schedule!$P:$P,"&gt;0")+COUNTIFS('TL Schedule'!$C:$C,$A152,'TL Schedule'!$K:$K,$B$2,'TL Schedule'!$J:$J,"&gt;0")+COUNTIFS(Schedule!$G:$G,$A152,Schedule!$U:$U,$C$2,Schedule!$P:$P,"&gt;0")+COUNTIFS('TL Schedule'!$C:$C,$A152,'TL Schedule'!$K:$K,$C$2,'TL Schedule'!$J:$J,"&gt;0"))</f>
        <v/>
      </c>
      <c r="J152">
        <f>IF($A152="","",IFERROR(TEXTJOIN(", ",TRUE,UNIQUE(FILTER(Schedule!$D$2:$D50000,Schedule!$G$2:$G50000=$A152,Schedule!$P$2:$P50000&gt;0,((Schedule!$U$2:$U50000=$B$2)+(Schedule!$U$2:$U50000=$C$2))))),""))</f>
        <v/>
      </c>
    </row>
    <row r="153">
      <c r="B153">
        <f>IF($A153="","",SUMIFS(Schedule!$P:$P,Schedule!$G:$G,$A153,Schedule!$U:$U,$B$2)+SUMIFS('TL Schedule'!$J:$J,'TL Schedule'!$C:$C,$A153,'TL Schedule'!$K:$K,$B$2))</f>
        <v/>
      </c>
      <c r="C153">
        <f>IF($A153="","",SUMIFS(Schedule!$P:$P,Schedule!$G:$G,$A153,Schedule!$U:$U,$C$2)+SUMIFS('TL Schedule'!$J:$J,'TL Schedule'!$C:$C,$A153,'TL Schedule'!$K:$K,$C$2))</f>
        <v/>
      </c>
      <c r="D153">
        <f>IF($A153="","",B153+C153)</f>
        <v/>
      </c>
      <c r="E153">
        <f>IF($A153="","",SUMIFS(Overtime!$H:$H,Overtime!$B:$B,$A153,Overtime!$N:$N,$B$2)+SUMIFS(Overtime!$H:$H,Overtime!$B:$B,$A153,Overtime!$N:$N,$C$2))</f>
        <v/>
      </c>
      <c r="F153">
        <f>IF($A153="","",SUMIFS('Death Penalty'!$E:$E,'Death Penalty'!$B:$B,$A153,'Death Penalty'!$L:$L,$B$2)+SUMIFS('Death Penalty'!$E:$E,'Death Penalty'!$B:$B,$A153,'Death Penalty'!$L:$L,$C$2))</f>
        <v/>
      </c>
      <c r="G153">
        <f>IF($A153="","",D153+E153-F153)</f>
        <v/>
      </c>
      <c r="H153">
        <f>IF($A153="","",SUMIFS(Incentives!$H:$H,Incentives!$B:$B,$A153,Incentives!$N:$N,$B$2)+SUMIFS(Incentives!$H:$H,Incentives!$B:$B,$A153,Incentives!$N:$N,$C$2))</f>
        <v/>
      </c>
      <c r="I153">
        <f>IF($A153="","",COUNTIFS(Schedule!$G:$G,$A153,Schedule!$U:$U,$B$2,Schedule!$P:$P,"&gt;0")+COUNTIFS('TL Schedule'!$C:$C,$A153,'TL Schedule'!$K:$K,$B$2,'TL Schedule'!$J:$J,"&gt;0")+COUNTIFS(Schedule!$G:$G,$A153,Schedule!$U:$U,$C$2,Schedule!$P:$P,"&gt;0")+COUNTIFS('TL Schedule'!$C:$C,$A153,'TL Schedule'!$K:$K,$C$2,'TL Schedule'!$J:$J,"&gt;0"))</f>
        <v/>
      </c>
      <c r="J153">
        <f>IF($A153="","",IFERROR(TEXTJOIN(", ",TRUE,UNIQUE(FILTER(Schedule!$D$2:$D50000,Schedule!$G$2:$G50000=$A153,Schedule!$P$2:$P50000&gt;0,((Schedule!$U$2:$U50000=$B$2)+(Schedule!$U$2:$U50000=$C$2))))),""))</f>
        <v/>
      </c>
    </row>
    <row r="154">
      <c r="B154">
        <f>IF($A154="","",SUMIFS(Schedule!$P:$P,Schedule!$G:$G,$A154,Schedule!$U:$U,$B$2)+SUMIFS('TL Schedule'!$J:$J,'TL Schedule'!$C:$C,$A154,'TL Schedule'!$K:$K,$B$2))</f>
        <v/>
      </c>
      <c r="C154">
        <f>IF($A154="","",SUMIFS(Schedule!$P:$P,Schedule!$G:$G,$A154,Schedule!$U:$U,$C$2)+SUMIFS('TL Schedule'!$J:$J,'TL Schedule'!$C:$C,$A154,'TL Schedule'!$K:$K,$C$2))</f>
        <v/>
      </c>
      <c r="D154">
        <f>IF($A154="","",B154+C154)</f>
        <v/>
      </c>
      <c r="E154">
        <f>IF($A154="","",SUMIFS(Overtime!$H:$H,Overtime!$B:$B,$A154,Overtime!$N:$N,$B$2)+SUMIFS(Overtime!$H:$H,Overtime!$B:$B,$A154,Overtime!$N:$N,$C$2))</f>
        <v/>
      </c>
      <c r="F154">
        <f>IF($A154="","",SUMIFS('Death Penalty'!$E:$E,'Death Penalty'!$B:$B,$A154,'Death Penalty'!$L:$L,$B$2)+SUMIFS('Death Penalty'!$E:$E,'Death Penalty'!$B:$B,$A154,'Death Penalty'!$L:$L,$C$2))</f>
        <v/>
      </c>
      <c r="G154">
        <f>IF($A154="","",D154+E154-F154)</f>
        <v/>
      </c>
      <c r="H154">
        <f>IF($A154="","",SUMIFS(Incentives!$H:$H,Incentives!$B:$B,$A154,Incentives!$N:$N,$B$2)+SUMIFS(Incentives!$H:$H,Incentives!$B:$B,$A154,Incentives!$N:$N,$C$2))</f>
        <v/>
      </c>
      <c r="I154">
        <f>IF($A154="","",COUNTIFS(Schedule!$G:$G,$A154,Schedule!$U:$U,$B$2,Schedule!$P:$P,"&gt;0")+COUNTIFS('TL Schedule'!$C:$C,$A154,'TL Schedule'!$K:$K,$B$2,'TL Schedule'!$J:$J,"&gt;0")+COUNTIFS(Schedule!$G:$G,$A154,Schedule!$U:$U,$C$2,Schedule!$P:$P,"&gt;0")+COUNTIFS('TL Schedule'!$C:$C,$A154,'TL Schedule'!$K:$K,$C$2,'TL Schedule'!$J:$J,"&gt;0"))</f>
        <v/>
      </c>
      <c r="J154">
        <f>IF($A154="","",IFERROR(TEXTJOIN(", ",TRUE,UNIQUE(FILTER(Schedule!$D$2:$D50000,Schedule!$G$2:$G50000=$A154,Schedule!$P$2:$P50000&gt;0,((Schedule!$U$2:$U50000=$B$2)+(Schedule!$U$2:$U50000=$C$2))))),""))</f>
        <v/>
      </c>
    </row>
    <row r="155">
      <c r="B155">
        <f>IF($A155="","",SUMIFS(Schedule!$P:$P,Schedule!$G:$G,$A155,Schedule!$U:$U,$B$2)+SUMIFS('TL Schedule'!$J:$J,'TL Schedule'!$C:$C,$A155,'TL Schedule'!$K:$K,$B$2))</f>
        <v/>
      </c>
      <c r="C155">
        <f>IF($A155="","",SUMIFS(Schedule!$P:$P,Schedule!$G:$G,$A155,Schedule!$U:$U,$C$2)+SUMIFS('TL Schedule'!$J:$J,'TL Schedule'!$C:$C,$A155,'TL Schedule'!$K:$K,$C$2))</f>
        <v/>
      </c>
      <c r="D155">
        <f>IF($A155="","",B155+C155)</f>
        <v/>
      </c>
      <c r="E155">
        <f>IF($A155="","",SUMIFS(Overtime!$H:$H,Overtime!$B:$B,$A155,Overtime!$N:$N,$B$2)+SUMIFS(Overtime!$H:$H,Overtime!$B:$B,$A155,Overtime!$N:$N,$C$2))</f>
        <v/>
      </c>
      <c r="F155">
        <f>IF($A155="","",SUMIFS('Death Penalty'!$E:$E,'Death Penalty'!$B:$B,$A155,'Death Penalty'!$L:$L,$B$2)+SUMIFS('Death Penalty'!$E:$E,'Death Penalty'!$B:$B,$A155,'Death Penalty'!$L:$L,$C$2))</f>
        <v/>
      </c>
      <c r="G155">
        <f>IF($A155="","",D155+E155-F155)</f>
        <v/>
      </c>
      <c r="H155">
        <f>IF($A155="","",SUMIFS(Incentives!$H:$H,Incentives!$B:$B,$A155,Incentives!$N:$N,$B$2)+SUMIFS(Incentives!$H:$H,Incentives!$B:$B,$A155,Incentives!$N:$N,$C$2))</f>
        <v/>
      </c>
      <c r="I155">
        <f>IF($A155="","",COUNTIFS(Schedule!$G:$G,$A155,Schedule!$U:$U,$B$2,Schedule!$P:$P,"&gt;0")+COUNTIFS('TL Schedule'!$C:$C,$A155,'TL Schedule'!$K:$K,$B$2,'TL Schedule'!$J:$J,"&gt;0")+COUNTIFS(Schedule!$G:$G,$A155,Schedule!$U:$U,$C$2,Schedule!$P:$P,"&gt;0")+COUNTIFS('TL Schedule'!$C:$C,$A155,'TL Schedule'!$K:$K,$C$2,'TL Schedule'!$J:$J,"&gt;0"))</f>
        <v/>
      </c>
      <c r="J155">
        <f>IF($A155="","",IFERROR(TEXTJOIN(", ",TRUE,UNIQUE(FILTER(Schedule!$D$2:$D50000,Schedule!$G$2:$G50000=$A155,Schedule!$P$2:$P50000&gt;0,((Schedule!$U$2:$U50000=$B$2)+(Schedule!$U$2:$U50000=$C$2))))),""))</f>
        <v/>
      </c>
    </row>
    <row r="156">
      <c r="B156">
        <f>IF($A156="","",SUMIFS(Schedule!$P:$P,Schedule!$G:$G,$A156,Schedule!$U:$U,$B$2)+SUMIFS('TL Schedule'!$J:$J,'TL Schedule'!$C:$C,$A156,'TL Schedule'!$K:$K,$B$2))</f>
        <v/>
      </c>
      <c r="C156">
        <f>IF($A156="","",SUMIFS(Schedule!$P:$P,Schedule!$G:$G,$A156,Schedule!$U:$U,$C$2)+SUMIFS('TL Schedule'!$J:$J,'TL Schedule'!$C:$C,$A156,'TL Schedule'!$K:$K,$C$2))</f>
        <v/>
      </c>
      <c r="D156">
        <f>IF($A156="","",B156+C156)</f>
        <v/>
      </c>
      <c r="E156">
        <f>IF($A156="","",SUMIFS(Overtime!$H:$H,Overtime!$B:$B,$A156,Overtime!$N:$N,$B$2)+SUMIFS(Overtime!$H:$H,Overtime!$B:$B,$A156,Overtime!$N:$N,$C$2))</f>
        <v/>
      </c>
      <c r="F156">
        <f>IF($A156="","",SUMIFS('Death Penalty'!$E:$E,'Death Penalty'!$B:$B,$A156,'Death Penalty'!$L:$L,$B$2)+SUMIFS('Death Penalty'!$E:$E,'Death Penalty'!$B:$B,$A156,'Death Penalty'!$L:$L,$C$2))</f>
        <v/>
      </c>
      <c r="G156">
        <f>IF($A156="","",D156+E156-F156)</f>
        <v/>
      </c>
      <c r="H156">
        <f>IF($A156="","",SUMIFS(Incentives!$H:$H,Incentives!$B:$B,$A156,Incentives!$N:$N,$B$2)+SUMIFS(Incentives!$H:$H,Incentives!$B:$B,$A156,Incentives!$N:$N,$C$2))</f>
        <v/>
      </c>
      <c r="I156">
        <f>IF($A156="","",COUNTIFS(Schedule!$G:$G,$A156,Schedule!$U:$U,$B$2,Schedule!$P:$P,"&gt;0")+COUNTIFS('TL Schedule'!$C:$C,$A156,'TL Schedule'!$K:$K,$B$2,'TL Schedule'!$J:$J,"&gt;0")+COUNTIFS(Schedule!$G:$G,$A156,Schedule!$U:$U,$C$2,Schedule!$P:$P,"&gt;0")+COUNTIFS('TL Schedule'!$C:$C,$A156,'TL Schedule'!$K:$K,$C$2,'TL Schedule'!$J:$J,"&gt;0"))</f>
        <v/>
      </c>
      <c r="J156">
        <f>IF($A156="","",IFERROR(TEXTJOIN(", ",TRUE,UNIQUE(FILTER(Schedule!$D$2:$D50000,Schedule!$G$2:$G50000=$A156,Schedule!$P$2:$P50000&gt;0,((Schedule!$U$2:$U50000=$B$2)+(Schedule!$U$2:$U50000=$C$2))))),""))</f>
        <v/>
      </c>
    </row>
    <row r="157">
      <c r="B157">
        <f>IF($A157="","",SUMIFS(Schedule!$P:$P,Schedule!$G:$G,$A157,Schedule!$U:$U,$B$2)+SUMIFS('TL Schedule'!$J:$J,'TL Schedule'!$C:$C,$A157,'TL Schedule'!$K:$K,$B$2))</f>
        <v/>
      </c>
      <c r="C157">
        <f>IF($A157="","",SUMIFS(Schedule!$P:$P,Schedule!$G:$G,$A157,Schedule!$U:$U,$C$2)+SUMIFS('TL Schedule'!$J:$J,'TL Schedule'!$C:$C,$A157,'TL Schedule'!$K:$K,$C$2))</f>
        <v/>
      </c>
      <c r="D157">
        <f>IF($A157="","",B157+C157)</f>
        <v/>
      </c>
      <c r="E157">
        <f>IF($A157="","",SUMIFS(Overtime!$H:$H,Overtime!$B:$B,$A157,Overtime!$N:$N,$B$2)+SUMIFS(Overtime!$H:$H,Overtime!$B:$B,$A157,Overtime!$N:$N,$C$2))</f>
        <v/>
      </c>
      <c r="F157">
        <f>IF($A157="","",SUMIFS('Death Penalty'!$E:$E,'Death Penalty'!$B:$B,$A157,'Death Penalty'!$L:$L,$B$2)+SUMIFS('Death Penalty'!$E:$E,'Death Penalty'!$B:$B,$A157,'Death Penalty'!$L:$L,$C$2))</f>
        <v/>
      </c>
      <c r="G157">
        <f>IF($A157="","",D157+E157-F157)</f>
        <v/>
      </c>
      <c r="H157">
        <f>IF($A157="","",SUMIFS(Incentives!$H:$H,Incentives!$B:$B,$A157,Incentives!$N:$N,$B$2)+SUMIFS(Incentives!$H:$H,Incentives!$B:$B,$A157,Incentives!$N:$N,$C$2))</f>
        <v/>
      </c>
      <c r="I157">
        <f>IF($A157="","",COUNTIFS(Schedule!$G:$G,$A157,Schedule!$U:$U,$B$2,Schedule!$P:$P,"&gt;0")+COUNTIFS('TL Schedule'!$C:$C,$A157,'TL Schedule'!$K:$K,$B$2,'TL Schedule'!$J:$J,"&gt;0")+COUNTIFS(Schedule!$G:$G,$A157,Schedule!$U:$U,$C$2,Schedule!$P:$P,"&gt;0")+COUNTIFS('TL Schedule'!$C:$C,$A157,'TL Schedule'!$K:$K,$C$2,'TL Schedule'!$J:$J,"&gt;0"))</f>
        <v/>
      </c>
      <c r="J157">
        <f>IF($A157="","",IFERROR(TEXTJOIN(", ",TRUE,UNIQUE(FILTER(Schedule!$D$2:$D50000,Schedule!$G$2:$G50000=$A157,Schedule!$P$2:$P50000&gt;0,((Schedule!$U$2:$U50000=$B$2)+(Schedule!$U$2:$U50000=$C$2))))),""))</f>
        <v/>
      </c>
    </row>
    <row r="158">
      <c r="B158">
        <f>IF($A158="","",SUMIFS(Schedule!$P:$P,Schedule!$G:$G,$A158,Schedule!$U:$U,$B$2)+SUMIFS('TL Schedule'!$J:$J,'TL Schedule'!$C:$C,$A158,'TL Schedule'!$K:$K,$B$2))</f>
        <v/>
      </c>
      <c r="C158">
        <f>IF($A158="","",SUMIFS(Schedule!$P:$P,Schedule!$G:$G,$A158,Schedule!$U:$U,$C$2)+SUMIFS('TL Schedule'!$J:$J,'TL Schedule'!$C:$C,$A158,'TL Schedule'!$K:$K,$C$2))</f>
        <v/>
      </c>
      <c r="D158">
        <f>IF($A158="","",B158+C158)</f>
        <v/>
      </c>
      <c r="E158">
        <f>IF($A158="","",SUMIFS(Overtime!$H:$H,Overtime!$B:$B,$A158,Overtime!$N:$N,$B$2)+SUMIFS(Overtime!$H:$H,Overtime!$B:$B,$A158,Overtime!$N:$N,$C$2))</f>
        <v/>
      </c>
      <c r="F158">
        <f>IF($A158="","",SUMIFS('Death Penalty'!$E:$E,'Death Penalty'!$B:$B,$A158,'Death Penalty'!$L:$L,$B$2)+SUMIFS('Death Penalty'!$E:$E,'Death Penalty'!$B:$B,$A158,'Death Penalty'!$L:$L,$C$2))</f>
        <v/>
      </c>
      <c r="G158">
        <f>IF($A158="","",D158+E158-F158)</f>
        <v/>
      </c>
      <c r="H158">
        <f>IF($A158="","",SUMIFS(Incentives!$H:$H,Incentives!$B:$B,$A158,Incentives!$N:$N,$B$2)+SUMIFS(Incentives!$H:$H,Incentives!$B:$B,$A158,Incentives!$N:$N,$C$2))</f>
        <v/>
      </c>
      <c r="I158">
        <f>IF($A158="","",COUNTIFS(Schedule!$G:$G,$A158,Schedule!$U:$U,$B$2,Schedule!$P:$P,"&gt;0")+COUNTIFS('TL Schedule'!$C:$C,$A158,'TL Schedule'!$K:$K,$B$2,'TL Schedule'!$J:$J,"&gt;0")+COUNTIFS(Schedule!$G:$G,$A158,Schedule!$U:$U,$C$2,Schedule!$P:$P,"&gt;0")+COUNTIFS('TL Schedule'!$C:$C,$A158,'TL Schedule'!$K:$K,$C$2,'TL Schedule'!$J:$J,"&gt;0"))</f>
        <v/>
      </c>
      <c r="J158">
        <f>IF($A158="","",IFERROR(TEXTJOIN(", ",TRUE,UNIQUE(FILTER(Schedule!$D$2:$D50000,Schedule!$G$2:$G50000=$A158,Schedule!$P$2:$P50000&gt;0,((Schedule!$U$2:$U50000=$B$2)+(Schedule!$U$2:$U50000=$C$2))))),""))</f>
        <v/>
      </c>
    </row>
    <row r="159">
      <c r="B159">
        <f>IF($A159="","",SUMIFS(Schedule!$P:$P,Schedule!$G:$G,$A159,Schedule!$U:$U,$B$2)+SUMIFS('TL Schedule'!$J:$J,'TL Schedule'!$C:$C,$A159,'TL Schedule'!$K:$K,$B$2))</f>
        <v/>
      </c>
      <c r="C159">
        <f>IF($A159="","",SUMIFS(Schedule!$P:$P,Schedule!$G:$G,$A159,Schedule!$U:$U,$C$2)+SUMIFS('TL Schedule'!$J:$J,'TL Schedule'!$C:$C,$A159,'TL Schedule'!$K:$K,$C$2))</f>
        <v/>
      </c>
      <c r="D159">
        <f>IF($A159="","",B159+C159)</f>
        <v/>
      </c>
      <c r="E159">
        <f>IF($A159="","",SUMIFS(Overtime!$H:$H,Overtime!$B:$B,$A159,Overtime!$N:$N,$B$2)+SUMIFS(Overtime!$H:$H,Overtime!$B:$B,$A159,Overtime!$N:$N,$C$2))</f>
        <v/>
      </c>
      <c r="F159">
        <f>IF($A159="","",SUMIFS('Death Penalty'!$E:$E,'Death Penalty'!$B:$B,$A159,'Death Penalty'!$L:$L,$B$2)+SUMIFS('Death Penalty'!$E:$E,'Death Penalty'!$B:$B,$A159,'Death Penalty'!$L:$L,$C$2))</f>
        <v/>
      </c>
      <c r="G159">
        <f>IF($A159="","",D159+E159-F159)</f>
        <v/>
      </c>
      <c r="H159">
        <f>IF($A159="","",SUMIFS(Incentives!$H:$H,Incentives!$B:$B,$A159,Incentives!$N:$N,$B$2)+SUMIFS(Incentives!$H:$H,Incentives!$B:$B,$A159,Incentives!$N:$N,$C$2))</f>
        <v/>
      </c>
      <c r="I159">
        <f>IF($A159="","",COUNTIFS(Schedule!$G:$G,$A159,Schedule!$U:$U,$B$2,Schedule!$P:$P,"&gt;0")+COUNTIFS('TL Schedule'!$C:$C,$A159,'TL Schedule'!$K:$K,$B$2,'TL Schedule'!$J:$J,"&gt;0")+COUNTIFS(Schedule!$G:$G,$A159,Schedule!$U:$U,$C$2,Schedule!$P:$P,"&gt;0")+COUNTIFS('TL Schedule'!$C:$C,$A159,'TL Schedule'!$K:$K,$C$2,'TL Schedule'!$J:$J,"&gt;0"))</f>
        <v/>
      </c>
      <c r="J159">
        <f>IF($A159="","",IFERROR(TEXTJOIN(", ",TRUE,UNIQUE(FILTER(Schedule!$D$2:$D50000,Schedule!$G$2:$G50000=$A159,Schedule!$P$2:$P50000&gt;0,((Schedule!$U$2:$U50000=$B$2)+(Schedule!$U$2:$U50000=$C$2))))),""))</f>
        <v/>
      </c>
    </row>
    <row r="160">
      <c r="B160">
        <f>IF($A160="","",SUMIFS(Schedule!$P:$P,Schedule!$G:$G,$A160,Schedule!$U:$U,$B$2)+SUMIFS('TL Schedule'!$J:$J,'TL Schedule'!$C:$C,$A160,'TL Schedule'!$K:$K,$B$2))</f>
        <v/>
      </c>
      <c r="C160">
        <f>IF($A160="","",SUMIFS(Schedule!$P:$P,Schedule!$G:$G,$A160,Schedule!$U:$U,$C$2)+SUMIFS('TL Schedule'!$J:$J,'TL Schedule'!$C:$C,$A160,'TL Schedule'!$K:$K,$C$2))</f>
        <v/>
      </c>
      <c r="D160">
        <f>IF($A160="","",B160+C160)</f>
        <v/>
      </c>
      <c r="E160">
        <f>IF($A160="","",SUMIFS(Overtime!$H:$H,Overtime!$B:$B,$A160,Overtime!$N:$N,$B$2)+SUMIFS(Overtime!$H:$H,Overtime!$B:$B,$A160,Overtime!$N:$N,$C$2))</f>
        <v/>
      </c>
      <c r="F160">
        <f>IF($A160="","",SUMIFS('Death Penalty'!$E:$E,'Death Penalty'!$B:$B,$A160,'Death Penalty'!$L:$L,$B$2)+SUMIFS('Death Penalty'!$E:$E,'Death Penalty'!$B:$B,$A160,'Death Penalty'!$L:$L,$C$2))</f>
        <v/>
      </c>
      <c r="G160">
        <f>IF($A160="","",D160+E160-F160)</f>
        <v/>
      </c>
      <c r="H160">
        <f>IF($A160="","",SUMIFS(Incentives!$H:$H,Incentives!$B:$B,$A160,Incentives!$N:$N,$B$2)+SUMIFS(Incentives!$H:$H,Incentives!$B:$B,$A160,Incentives!$N:$N,$C$2))</f>
        <v/>
      </c>
      <c r="I160">
        <f>IF($A160="","",COUNTIFS(Schedule!$G:$G,$A160,Schedule!$U:$U,$B$2,Schedule!$P:$P,"&gt;0")+COUNTIFS('TL Schedule'!$C:$C,$A160,'TL Schedule'!$K:$K,$B$2,'TL Schedule'!$J:$J,"&gt;0")+COUNTIFS(Schedule!$G:$G,$A160,Schedule!$U:$U,$C$2,Schedule!$P:$P,"&gt;0")+COUNTIFS('TL Schedule'!$C:$C,$A160,'TL Schedule'!$K:$K,$C$2,'TL Schedule'!$J:$J,"&gt;0"))</f>
        <v/>
      </c>
      <c r="J160">
        <f>IF($A160="","",IFERROR(TEXTJOIN(", ",TRUE,UNIQUE(FILTER(Schedule!$D$2:$D50000,Schedule!$G$2:$G50000=$A160,Schedule!$P$2:$P50000&gt;0,((Schedule!$U$2:$U50000=$B$2)+(Schedule!$U$2:$U50000=$C$2))))),""))</f>
        <v/>
      </c>
    </row>
    <row r="161">
      <c r="B161">
        <f>IF($A161="","",SUMIFS(Schedule!$P:$P,Schedule!$G:$G,$A161,Schedule!$U:$U,$B$2)+SUMIFS('TL Schedule'!$J:$J,'TL Schedule'!$C:$C,$A161,'TL Schedule'!$K:$K,$B$2))</f>
        <v/>
      </c>
      <c r="C161">
        <f>IF($A161="","",SUMIFS(Schedule!$P:$P,Schedule!$G:$G,$A161,Schedule!$U:$U,$C$2)+SUMIFS('TL Schedule'!$J:$J,'TL Schedule'!$C:$C,$A161,'TL Schedule'!$K:$K,$C$2))</f>
        <v/>
      </c>
      <c r="D161">
        <f>IF($A161="","",B161+C161)</f>
        <v/>
      </c>
      <c r="E161">
        <f>IF($A161="","",SUMIFS(Overtime!$H:$H,Overtime!$B:$B,$A161,Overtime!$N:$N,$B$2)+SUMIFS(Overtime!$H:$H,Overtime!$B:$B,$A161,Overtime!$N:$N,$C$2))</f>
        <v/>
      </c>
      <c r="F161">
        <f>IF($A161="","",SUMIFS('Death Penalty'!$E:$E,'Death Penalty'!$B:$B,$A161,'Death Penalty'!$L:$L,$B$2)+SUMIFS('Death Penalty'!$E:$E,'Death Penalty'!$B:$B,$A161,'Death Penalty'!$L:$L,$C$2))</f>
        <v/>
      </c>
      <c r="G161">
        <f>IF($A161="","",D161+E161-F161)</f>
        <v/>
      </c>
      <c r="H161">
        <f>IF($A161="","",SUMIFS(Incentives!$H:$H,Incentives!$B:$B,$A161,Incentives!$N:$N,$B$2)+SUMIFS(Incentives!$H:$H,Incentives!$B:$B,$A161,Incentives!$N:$N,$C$2))</f>
        <v/>
      </c>
      <c r="I161">
        <f>IF($A161="","",COUNTIFS(Schedule!$G:$G,$A161,Schedule!$U:$U,$B$2,Schedule!$P:$P,"&gt;0")+COUNTIFS('TL Schedule'!$C:$C,$A161,'TL Schedule'!$K:$K,$B$2,'TL Schedule'!$J:$J,"&gt;0")+COUNTIFS(Schedule!$G:$G,$A161,Schedule!$U:$U,$C$2,Schedule!$P:$P,"&gt;0")+COUNTIFS('TL Schedule'!$C:$C,$A161,'TL Schedule'!$K:$K,$C$2,'TL Schedule'!$J:$J,"&gt;0"))</f>
        <v/>
      </c>
      <c r="J161">
        <f>IF($A161="","",IFERROR(TEXTJOIN(", ",TRUE,UNIQUE(FILTER(Schedule!$D$2:$D50000,Schedule!$G$2:$G50000=$A161,Schedule!$P$2:$P50000&gt;0,((Schedule!$U$2:$U50000=$B$2)+(Schedule!$U$2:$U50000=$C$2))))),""))</f>
        <v/>
      </c>
    </row>
    <row r="162">
      <c r="B162">
        <f>IF($A162="","",SUMIFS(Schedule!$P:$P,Schedule!$G:$G,$A162,Schedule!$U:$U,$B$2)+SUMIFS('TL Schedule'!$J:$J,'TL Schedule'!$C:$C,$A162,'TL Schedule'!$K:$K,$B$2))</f>
        <v/>
      </c>
      <c r="C162">
        <f>IF($A162="","",SUMIFS(Schedule!$P:$P,Schedule!$G:$G,$A162,Schedule!$U:$U,$C$2)+SUMIFS('TL Schedule'!$J:$J,'TL Schedule'!$C:$C,$A162,'TL Schedule'!$K:$K,$C$2))</f>
        <v/>
      </c>
      <c r="D162">
        <f>IF($A162="","",B162+C162)</f>
        <v/>
      </c>
      <c r="E162">
        <f>IF($A162="","",SUMIFS(Overtime!$H:$H,Overtime!$B:$B,$A162,Overtime!$N:$N,$B$2)+SUMIFS(Overtime!$H:$H,Overtime!$B:$B,$A162,Overtime!$N:$N,$C$2))</f>
        <v/>
      </c>
      <c r="F162">
        <f>IF($A162="","",SUMIFS('Death Penalty'!$E:$E,'Death Penalty'!$B:$B,$A162,'Death Penalty'!$L:$L,$B$2)+SUMIFS('Death Penalty'!$E:$E,'Death Penalty'!$B:$B,$A162,'Death Penalty'!$L:$L,$C$2))</f>
        <v/>
      </c>
      <c r="G162">
        <f>IF($A162="","",D162+E162-F162)</f>
        <v/>
      </c>
      <c r="H162">
        <f>IF($A162="","",SUMIFS(Incentives!$H:$H,Incentives!$B:$B,$A162,Incentives!$N:$N,$B$2)+SUMIFS(Incentives!$H:$H,Incentives!$B:$B,$A162,Incentives!$N:$N,$C$2))</f>
        <v/>
      </c>
      <c r="I162">
        <f>IF($A162="","",COUNTIFS(Schedule!$G:$G,$A162,Schedule!$U:$U,$B$2,Schedule!$P:$P,"&gt;0")+COUNTIFS('TL Schedule'!$C:$C,$A162,'TL Schedule'!$K:$K,$B$2,'TL Schedule'!$J:$J,"&gt;0")+COUNTIFS(Schedule!$G:$G,$A162,Schedule!$U:$U,$C$2,Schedule!$P:$P,"&gt;0")+COUNTIFS('TL Schedule'!$C:$C,$A162,'TL Schedule'!$K:$K,$C$2,'TL Schedule'!$J:$J,"&gt;0"))</f>
        <v/>
      </c>
      <c r="J162">
        <f>IF($A162="","",IFERROR(TEXTJOIN(", ",TRUE,UNIQUE(FILTER(Schedule!$D$2:$D50000,Schedule!$G$2:$G50000=$A162,Schedule!$P$2:$P50000&gt;0,((Schedule!$U$2:$U50000=$B$2)+(Schedule!$U$2:$U50000=$C$2))))),""))</f>
        <v/>
      </c>
    </row>
    <row r="163">
      <c r="B163">
        <f>IF($A163="","",SUMIFS(Schedule!$P:$P,Schedule!$G:$G,$A163,Schedule!$U:$U,$B$2)+SUMIFS('TL Schedule'!$J:$J,'TL Schedule'!$C:$C,$A163,'TL Schedule'!$K:$K,$B$2))</f>
        <v/>
      </c>
      <c r="C163">
        <f>IF($A163="","",SUMIFS(Schedule!$P:$P,Schedule!$G:$G,$A163,Schedule!$U:$U,$C$2)+SUMIFS('TL Schedule'!$J:$J,'TL Schedule'!$C:$C,$A163,'TL Schedule'!$K:$K,$C$2))</f>
        <v/>
      </c>
      <c r="D163">
        <f>IF($A163="","",B163+C163)</f>
        <v/>
      </c>
      <c r="E163">
        <f>IF($A163="","",SUMIFS(Overtime!$H:$H,Overtime!$B:$B,$A163,Overtime!$N:$N,$B$2)+SUMIFS(Overtime!$H:$H,Overtime!$B:$B,$A163,Overtime!$N:$N,$C$2))</f>
        <v/>
      </c>
      <c r="F163">
        <f>IF($A163="","",SUMIFS('Death Penalty'!$E:$E,'Death Penalty'!$B:$B,$A163,'Death Penalty'!$L:$L,$B$2)+SUMIFS('Death Penalty'!$E:$E,'Death Penalty'!$B:$B,$A163,'Death Penalty'!$L:$L,$C$2))</f>
        <v/>
      </c>
      <c r="G163">
        <f>IF($A163="","",D163+E163-F163)</f>
        <v/>
      </c>
      <c r="H163">
        <f>IF($A163="","",SUMIFS(Incentives!$H:$H,Incentives!$B:$B,$A163,Incentives!$N:$N,$B$2)+SUMIFS(Incentives!$H:$H,Incentives!$B:$B,$A163,Incentives!$N:$N,$C$2))</f>
        <v/>
      </c>
      <c r="I163">
        <f>IF($A163="","",COUNTIFS(Schedule!$G:$G,$A163,Schedule!$U:$U,$B$2,Schedule!$P:$P,"&gt;0")+COUNTIFS('TL Schedule'!$C:$C,$A163,'TL Schedule'!$K:$K,$B$2,'TL Schedule'!$J:$J,"&gt;0")+COUNTIFS(Schedule!$G:$G,$A163,Schedule!$U:$U,$C$2,Schedule!$P:$P,"&gt;0")+COUNTIFS('TL Schedule'!$C:$C,$A163,'TL Schedule'!$K:$K,$C$2,'TL Schedule'!$J:$J,"&gt;0"))</f>
        <v/>
      </c>
      <c r="J163">
        <f>IF($A163="","",IFERROR(TEXTJOIN(", ",TRUE,UNIQUE(FILTER(Schedule!$D$2:$D50000,Schedule!$G$2:$G50000=$A163,Schedule!$P$2:$P50000&gt;0,((Schedule!$U$2:$U50000=$B$2)+(Schedule!$U$2:$U50000=$C$2))))),""))</f>
        <v/>
      </c>
    </row>
    <row r="164">
      <c r="B164">
        <f>IF($A164="","",SUMIFS(Schedule!$P:$P,Schedule!$G:$G,$A164,Schedule!$U:$U,$B$2)+SUMIFS('TL Schedule'!$J:$J,'TL Schedule'!$C:$C,$A164,'TL Schedule'!$K:$K,$B$2))</f>
        <v/>
      </c>
      <c r="C164">
        <f>IF($A164="","",SUMIFS(Schedule!$P:$P,Schedule!$G:$G,$A164,Schedule!$U:$U,$C$2)+SUMIFS('TL Schedule'!$J:$J,'TL Schedule'!$C:$C,$A164,'TL Schedule'!$K:$K,$C$2))</f>
        <v/>
      </c>
      <c r="D164">
        <f>IF($A164="","",B164+C164)</f>
        <v/>
      </c>
      <c r="E164">
        <f>IF($A164="","",SUMIFS(Overtime!$H:$H,Overtime!$B:$B,$A164,Overtime!$N:$N,$B$2)+SUMIFS(Overtime!$H:$H,Overtime!$B:$B,$A164,Overtime!$N:$N,$C$2))</f>
        <v/>
      </c>
      <c r="F164">
        <f>IF($A164="","",SUMIFS('Death Penalty'!$E:$E,'Death Penalty'!$B:$B,$A164,'Death Penalty'!$L:$L,$B$2)+SUMIFS('Death Penalty'!$E:$E,'Death Penalty'!$B:$B,$A164,'Death Penalty'!$L:$L,$C$2))</f>
        <v/>
      </c>
      <c r="G164">
        <f>IF($A164="","",D164+E164-F164)</f>
        <v/>
      </c>
      <c r="H164">
        <f>IF($A164="","",SUMIFS(Incentives!$H:$H,Incentives!$B:$B,$A164,Incentives!$N:$N,$B$2)+SUMIFS(Incentives!$H:$H,Incentives!$B:$B,$A164,Incentives!$N:$N,$C$2))</f>
        <v/>
      </c>
      <c r="I164">
        <f>IF($A164="","",COUNTIFS(Schedule!$G:$G,$A164,Schedule!$U:$U,$B$2,Schedule!$P:$P,"&gt;0")+COUNTIFS('TL Schedule'!$C:$C,$A164,'TL Schedule'!$K:$K,$B$2,'TL Schedule'!$J:$J,"&gt;0")+COUNTIFS(Schedule!$G:$G,$A164,Schedule!$U:$U,$C$2,Schedule!$P:$P,"&gt;0")+COUNTIFS('TL Schedule'!$C:$C,$A164,'TL Schedule'!$K:$K,$C$2,'TL Schedule'!$J:$J,"&gt;0"))</f>
        <v/>
      </c>
      <c r="J164">
        <f>IF($A164="","",IFERROR(TEXTJOIN(", ",TRUE,UNIQUE(FILTER(Schedule!$D$2:$D50000,Schedule!$G$2:$G50000=$A164,Schedule!$P$2:$P50000&gt;0,((Schedule!$U$2:$U50000=$B$2)+(Schedule!$U$2:$U50000=$C$2))))),""))</f>
        <v/>
      </c>
    </row>
    <row r="165">
      <c r="B165">
        <f>IF($A165="","",SUMIFS(Schedule!$P:$P,Schedule!$G:$G,$A165,Schedule!$U:$U,$B$2)+SUMIFS('TL Schedule'!$J:$J,'TL Schedule'!$C:$C,$A165,'TL Schedule'!$K:$K,$B$2))</f>
        <v/>
      </c>
      <c r="C165">
        <f>IF($A165="","",SUMIFS(Schedule!$P:$P,Schedule!$G:$G,$A165,Schedule!$U:$U,$C$2)+SUMIFS('TL Schedule'!$J:$J,'TL Schedule'!$C:$C,$A165,'TL Schedule'!$K:$K,$C$2))</f>
        <v/>
      </c>
      <c r="D165">
        <f>IF($A165="","",B165+C165)</f>
        <v/>
      </c>
      <c r="E165">
        <f>IF($A165="","",SUMIFS(Overtime!$H:$H,Overtime!$B:$B,$A165,Overtime!$N:$N,$B$2)+SUMIFS(Overtime!$H:$H,Overtime!$B:$B,$A165,Overtime!$N:$N,$C$2))</f>
        <v/>
      </c>
      <c r="F165">
        <f>IF($A165="","",SUMIFS('Death Penalty'!$E:$E,'Death Penalty'!$B:$B,$A165,'Death Penalty'!$L:$L,$B$2)+SUMIFS('Death Penalty'!$E:$E,'Death Penalty'!$B:$B,$A165,'Death Penalty'!$L:$L,$C$2))</f>
        <v/>
      </c>
      <c r="G165">
        <f>IF($A165="","",D165+E165-F165)</f>
        <v/>
      </c>
      <c r="H165">
        <f>IF($A165="","",SUMIFS(Incentives!$H:$H,Incentives!$B:$B,$A165,Incentives!$N:$N,$B$2)+SUMIFS(Incentives!$H:$H,Incentives!$B:$B,$A165,Incentives!$N:$N,$C$2))</f>
        <v/>
      </c>
      <c r="I165">
        <f>IF($A165="","",COUNTIFS(Schedule!$G:$G,$A165,Schedule!$U:$U,$B$2,Schedule!$P:$P,"&gt;0")+COUNTIFS('TL Schedule'!$C:$C,$A165,'TL Schedule'!$K:$K,$B$2,'TL Schedule'!$J:$J,"&gt;0")+COUNTIFS(Schedule!$G:$G,$A165,Schedule!$U:$U,$C$2,Schedule!$P:$P,"&gt;0")+COUNTIFS('TL Schedule'!$C:$C,$A165,'TL Schedule'!$K:$K,$C$2,'TL Schedule'!$J:$J,"&gt;0"))</f>
        <v/>
      </c>
      <c r="J165">
        <f>IF($A165="","",IFERROR(TEXTJOIN(", ",TRUE,UNIQUE(FILTER(Schedule!$D$2:$D50000,Schedule!$G$2:$G50000=$A165,Schedule!$P$2:$P50000&gt;0,((Schedule!$U$2:$U50000=$B$2)+(Schedule!$U$2:$U50000=$C$2))))),""))</f>
        <v/>
      </c>
    </row>
    <row r="166">
      <c r="B166">
        <f>IF($A166="","",SUMIFS(Schedule!$P:$P,Schedule!$G:$G,$A166,Schedule!$U:$U,$B$2)+SUMIFS('TL Schedule'!$J:$J,'TL Schedule'!$C:$C,$A166,'TL Schedule'!$K:$K,$B$2))</f>
        <v/>
      </c>
      <c r="C166">
        <f>IF($A166="","",SUMIFS(Schedule!$P:$P,Schedule!$G:$G,$A166,Schedule!$U:$U,$C$2)+SUMIFS('TL Schedule'!$J:$J,'TL Schedule'!$C:$C,$A166,'TL Schedule'!$K:$K,$C$2))</f>
        <v/>
      </c>
      <c r="D166">
        <f>IF($A166="","",B166+C166)</f>
        <v/>
      </c>
      <c r="E166">
        <f>IF($A166="","",SUMIFS(Overtime!$H:$H,Overtime!$B:$B,$A166,Overtime!$N:$N,$B$2)+SUMIFS(Overtime!$H:$H,Overtime!$B:$B,$A166,Overtime!$N:$N,$C$2))</f>
        <v/>
      </c>
      <c r="F166">
        <f>IF($A166="","",SUMIFS('Death Penalty'!$E:$E,'Death Penalty'!$B:$B,$A166,'Death Penalty'!$L:$L,$B$2)+SUMIFS('Death Penalty'!$E:$E,'Death Penalty'!$B:$B,$A166,'Death Penalty'!$L:$L,$C$2))</f>
        <v/>
      </c>
      <c r="G166">
        <f>IF($A166="","",D166+E166-F166)</f>
        <v/>
      </c>
      <c r="H166">
        <f>IF($A166="","",SUMIFS(Incentives!$H:$H,Incentives!$B:$B,$A166,Incentives!$N:$N,$B$2)+SUMIFS(Incentives!$H:$H,Incentives!$B:$B,$A166,Incentives!$N:$N,$C$2))</f>
        <v/>
      </c>
      <c r="I166">
        <f>IF($A166="","",COUNTIFS(Schedule!$G:$G,$A166,Schedule!$U:$U,$B$2,Schedule!$P:$P,"&gt;0")+COUNTIFS('TL Schedule'!$C:$C,$A166,'TL Schedule'!$K:$K,$B$2,'TL Schedule'!$J:$J,"&gt;0")+COUNTIFS(Schedule!$G:$G,$A166,Schedule!$U:$U,$C$2,Schedule!$P:$P,"&gt;0")+COUNTIFS('TL Schedule'!$C:$C,$A166,'TL Schedule'!$K:$K,$C$2,'TL Schedule'!$J:$J,"&gt;0"))</f>
        <v/>
      </c>
      <c r="J166">
        <f>IF($A166="","",IFERROR(TEXTJOIN(", ",TRUE,UNIQUE(FILTER(Schedule!$D$2:$D50000,Schedule!$G$2:$G50000=$A166,Schedule!$P$2:$P50000&gt;0,((Schedule!$U$2:$U50000=$B$2)+(Schedule!$U$2:$U50000=$C$2))))),""))</f>
        <v/>
      </c>
    </row>
    <row r="167">
      <c r="B167">
        <f>IF($A167="","",SUMIFS(Schedule!$P:$P,Schedule!$G:$G,$A167,Schedule!$U:$U,$B$2)+SUMIFS('TL Schedule'!$J:$J,'TL Schedule'!$C:$C,$A167,'TL Schedule'!$K:$K,$B$2))</f>
        <v/>
      </c>
      <c r="C167">
        <f>IF($A167="","",SUMIFS(Schedule!$P:$P,Schedule!$G:$G,$A167,Schedule!$U:$U,$C$2)+SUMIFS('TL Schedule'!$J:$J,'TL Schedule'!$C:$C,$A167,'TL Schedule'!$K:$K,$C$2))</f>
        <v/>
      </c>
      <c r="D167">
        <f>IF($A167="","",B167+C167)</f>
        <v/>
      </c>
      <c r="E167">
        <f>IF($A167="","",SUMIFS(Overtime!$H:$H,Overtime!$B:$B,$A167,Overtime!$N:$N,$B$2)+SUMIFS(Overtime!$H:$H,Overtime!$B:$B,$A167,Overtime!$N:$N,$C$2))</f>
        <v/>
      </c>
      <c r="F167">
        <f>IF($A167="","",SUMIFS('Death Penalty'!$E:$E,'Death Penalty'!$B:$B,$A167,'Death Penalty'!$L:$L,$B$2)+SUMIFS('Death Penalty'!$E:$E,'Death Penalty'!$B:$B,$A167,'Death Penalty'!$L:$L,$C$2))</f>
        <v/>
      </c>
      <c r="G167">
        <f>IF($A167="","",D167+E167-F167)</f>
        <v/>
      </c>
      <c r="H167">
        <f>IF($A167="","",SUMIFS(Incentives!$H:$H,Incentives!$B:$B,$A167,Incentives!$N:$N,$B$2)+SUMIFS(Incentives!$H:$H,Incentives!$B:$B,$A167,Incentives!$N:$N,$C$2))</f>
        <v/>
      </c>
      <c r="I167">
        <f>IF($A167="","",COUNTIFS(Schedule!$G:$G,$A167,Schedule!$U:$U,$B$2,Schedule!$P:$P,"&gt;0")+COUNTIFS('TL Schedule'!$C:$C,$A167,'TL Schedule'!$K:$K,$B$2,'TL Schedule'!$J:$J,"&gt;0")+COUNTIFS(Schedule!$G:$G,$A167,Schedule!$U:$U,$C$2,Schedule!$P:$P,"&gt;0")+COUNTIFS('TL Schedule'!$C:$C,$A167,'TL Schedule'!$K:$K,$C$2,'TL Schedule'!$J:$J,"&gt;0"))</f>
        <v/>
      </c>
      <c r="J167">
        <f>IF($A167="","",IFERROR(TEXTJOIN(", ",TRUE,UNIQUE(FILTER(Schedule!$D$2:$D50000,Schedule!$G$2:$G50000=$A167,Schedule!$P$2:$P50000&gt;0,((Schedule!$U$2:$U50000=$B$2)+(Schedule!$U$2:$U50000=$C$2))))),""))</f>
        <v/>
      </c>
    </row>
    <row r="168">
      <c r="B168">
        <f>IF($A168="","",SUMIFS(Schedule!$P:$P,Schedule!$G:$G,$A168,Schedule!$U:$U,$B$2)+SUMIFS('TL Schedule'!$J:$J,'TL Schedule'!$C:$C,$A168,'TL Schedule'!$K:$K,$B$2))</f>
        <v/>
      </c>
      <c r="C168">
        <f>IF($A168="","",SUMIFS(Schedule!$P:$P,Schedule!$G:$G,$A168,Schedule!$U:$U,$C$2)+SUMIFS('TL Schedule'!$J:$J,'TL Schedule'!$C:$C,$A168,'TL Schedule'!$K:$K,$C$2))</f>
        <v/>
      </c>
      <c r="D168">
        <f>IF($A168="","",B168+C168)</f>
        <v/>
      </c>
      <c r="E168">
        <f>IF($A168="","",SUMIFS(Overtime!$H:$H,Overtime!$B:$B,$A168,Overtime!$N:$N,$B$2)+SUMIFS(Overtime!$H:$H,Overtime!$B:$B,$A168,Overtime!$N:$N,$C$2))</f>
        <v/>
      </c>
      <c r="F168">
        <f>IF($A168="","",SUMIFS('Death Penalty'!$E:$E,'Death Penalty'!$B:$B,$A168,'Death Penalty'!$L:$L,$B$2)+SUMIFS('Death Penalty'!$E:$E,'Death Penalty'!$B:$B,$A168,'Death Penalty'!$L:$L,$C$2))</f>
        <v/>
      </c>
      <c r="G168">
        <f>IF($A168="","",D168+E168-F168)</f>
        <v/>
      </c>
      <c r="H168">
        <f>IF($A168="","",SUMIFS(Incentives!$H:$H,Incentives!$B:$B,$A168,Incentives!$N:$N,$B$2)+SUMIFS(Incentives!$H:$H,Incentives!$B:$B,$A168,Incentives!$N:$N,$C$2))</f>
        <v/>
      </c>
      <c r="I168">
        <f>IF($A168="","",COUNTIFS(Schedule!$G:$G,$A168,Schedule!$U:$U,$B$2,Schedule!$P:$P,"&gt;0")+COUNTIFS('TL Schedule'!$C:$C,$A168,'TL Schedule'!$K:$K,$B$2,'TL Schedule'!$J:$J,"&gt;0")+COUNTIFS(Schedule!$G:$G,$A168,Schedule!$U:$U,$C$2,Schedule!$P:$P,"&gt;0")+COUNTIFS('TL Schedule'!$C:$C,$A168,'TL Schedule'!$K:$K,$C$2,'TL Schedule'!$J:$J,"&gt;0"))</f>
        <v/>
      </c>
      <c r="J168">
        <f>IF($A168="","",IFERROR(TEXTJOIN(", ",TRUE,UNIQUE(FILTER(Schedule!$D$2:$D50000,Schedule!$G$2:$G50000=$A168,Schedule!$P$2:$P50000&gt;0,((Schedule!$U$2:$U50000=$B$2)+(Schedule!$U$2:$U50000=$C$2))))),""))</f>
        <v/>
      </c>
    </row>
    <row r="169">
      <c r="B169">
        <f>IF($A169="","",SUMIFS(Schedule!$P:$P,Schedule!$G:$G,$A169,Schedule!$U:$U,$B$2)+SUMIFS('TL Schedule'!$J:$J,'TL Schedule'!$C:$C,$A169,'TL Schedule'!$K:$K,$B$2))</f>
        <v/>
      </c>
      <c r="C169">
        <f>IF($A169="","",SUMIFS(Schedule!$P:$P,Schedule!$G:$G,$A169,Schedule!$U:$U,$C$2)+SUMIFS('TL Schedule'!$J:$J,'TL Schedule'!$C:$C,$A169,'TL Schedule'!$K:$K,$C$2))</f>
        <v/>
      </c>
      <c r="D169">
        <f>IF($A169="","",B169+C169)</f>
        <v/>
      </c>
      <c r="E169">
        <f>IF($A169="","",SUMIFS(Overtime!$H:$H,Overtime!$B:$B,$A169,Overtime!$N:$N,$B$2)+SUMIFS(Overtime!$H:$H,Overtime!$B:$B,$A169,Overtime!$N:$N,$C$2))</f>
        <v/>
      </c>
      <c r="F169">
        <f>IF($A169="","",SUMIFS('Death Penalty'!$E:$E,'Death Penalty'!$B:$B,$A169,'Death Penalty'!$L:$L,$B$2)+SUMIFS('Death Penalty'!$E:$E,'Death Penalty'!$B:$B,$A169,'Death Penalty'!$L:$L,$C$2))</f>
        <v/>
      </c>
      <c r="G169">
        <f>IF($A169="","",D169+E169-F169)</f>
        <v/>
      </c>
      <c r="H169">
        <f>IF($A169="","",SUMIFS(Incentives!$H:$H,Incentives!$B:$B,$A169,Incentives!$N:$N,$B$2)+SUMIFS(Incentives!$H:$H,Incentives!$B:$B,$A169,Incentives!$N:$N,$C$2))</f>
        <v/>
      </c>
      <c r="I169">
        <f>IF($A169="","",COUNTIFS(Schedule!$G:$G,$A169,Schedule!$U:$U,$B$2,Schedule!$P:$P,"&gt;0")+COUNTIFS('TL Schedule'!$C:$C,$A169,'TL Schedule'!$K:$K,$B$2,'TL Schedule'!$J:$J,"&gt;0")+COUNTIFS(Schedule!$G:$G,$A169,Schedule!$U:$U,$C$2,Schedule!$P:$P,"&gt;0")+COUNTIFS('TL Schedule'!$C:$C,$A169,'TL Schedule'!$K:$K,$C$2,'TL Schedule'!$J:$J,"&gt;0"))</f>
        <v/>
      </c>
      <c r="J169">
        <f>IF($A169="","",IFERROR(TEXTJOIN(", ",TRUE,UNIQUE(FILTER(Schedule!$D$2:$D50000,Schedule!$G$2:$G50000=$A169,Schedule!$P$2:$P50000&gt;0,((Schedule!$U$2:$U50000=$B$2)+(Schedule!$U$2:$U50000=$C$2))))),""))</f>
        <v/>
      </c>
    </row>
    <row r="170">
      <c r="B170">
        <f>IF($A170="","",SUMIFS(Schedule!$P:$P,Schedule!$G:$G,$A170,Schedule!$U:$U,$B$2)+SUMIFS('TL Schedule'!$J:$J,'TL Schedule'!$C:$C,$A170,'TL Schedule'!$K:$K,$B$2))</f>
        <v/>
      </c>
      <c r="C170">
        <f>IF($A170="","",SUMIFS(Schedule!$P:$P,Schedule!$G:$G,$A170,Schedule!$U:$U,$C$2)+SUMIFS('TL Schedule'!$J:$J,'TL Schedule'!$C:$C,$A170,'TL Schedule'!$K:$K,$C$2))</f>
        <v/>
      </c>
      <c r="D170">
        <f>IF($A170="","",B170+C170)</f>
        <v/>
      </c>
      <c r="E170">
        <f>IF($A170="","",SUMIFS(Overtime!$H:$H,Overtime!$B:$B,$A170,Overtime!$N:$N,$B$2)+SUMIFS(Overtime!$H:$H,Overtime!$B:$B,$A170,Overtime!$N:$N,$C$2))</f>
        <v/>
      </c>
      <c r="F170">
        <f>IF($A170="","",SUMIFS('Death Penalty'!$E:$E,'Death Penalty'!$B:$B,$A170,'Death Penalty'!$L:$L,$B$2)+SUMIFS('Death Penalty'!$E:$E,'Death Penalty'!$B:$B,$A170,'Death Penalty'!$L:$L,$C$2))</f>
        <v/>
      </c>
      <c r="G170">
        <f>IF($A170="","",D170+E170-F170)</f>
        <v/>
      </c>
      <c r="H170">
        <f>IF($A170="","",SUMIFS(Incentives!$H:$H,Incentives!$B:$B,$A170,Incentives!$N:$N,$B$2)+SUMIFS(Incentives!$H:$H,Incentives!$B:$B,$A170,Incentives!$N:$N,$C$2))</f>
        <v/>
      </c>
      <c r="I170">
        <f>IF($A170="","",COUNTIFS(Schedule!$G:$G,$A170,Schedule!$U:$U,$B$2,Schedule!$P:$P,"&gt;0")+COUNTIFS('TL Schedule'!$C:$C,$A170,'TL Schedule'!$K:$K,$B$2,'TL Schedule'!$J:$J,"&gt;0")+COUNTIFS(Schedule!$G:$G,$A170,Schedule!$U:$U,$C$2,Schedule!$P:$P,"&gt;0")+COUNTIFS('TL Schedule'!$C:$C,$A170,'TL Schedule'!$K:$K,$C$2,'TL Schedule'!$J:$J,"&gt;0"))</f>
        <v/>
      </c>
      <c r="J170">
        <f>IF($A170="","",IFERROR(TEXTJOIN(", ",TRUE,UNIQUE(FILTER(Schedule!$D$2:$D50000,Schedule!$G$2:$G50000=$A170,Schedule!$P$2:$P50000&gt;0,((Schedule!$U$2:$U50000=$B$2)+(Schedule!$U$2:$U50000=$C$2))))),""))</f>
        <v/>
      </c>
    </row>
    <row r="171">
      <c r="B171">
        <f>IF($A171="","",SUMIFS(Schedule!$P:$P,Schedule!$G:$G,$A171,Schedule!$U:$U,$B$2)+SUMIFS('TL Schedule'!$J:$J,'TL Schedule'!$C:$C,$A171,'TL Schedule'!$K:$K,$B$2))</f>
        <v/>
      </c>
      <c r="C171">
        <f>IF($A171="","",SUMIFS(Schedule!$P:$P,Schedule!$G:$G,$A171,Schedule!$U:$U,$C$2)+SUMIFS('TL Schedule'!$J:$J,'TL Schedule'!$C:$C,$A171,'TL Schedule'!$K:$K,$C$2))</f>
        <v/>
      </c>
      <c r="D171">
        <f>IF($A171="","",B171+C171)</f>
        <v/>
      </c>
      <c r="E171">
        <f>IF($A171="","",SUMIFS(Overtime!$H:$H,Overtime!$B:$B,$A171,Overtime!$N:$N,$B$2)+SUMIFS(Overtime!$H:$H,Overtime!$B:$B,$A171,Overtime!$N:$N,$C$2))</f>
        <v/>
      </c>
      <c r="F171">
        <f>IF($A171="","",SUMIFS('Death Penalty'!$E:$E,'Death Penalty'!$B:$B,$A171,'Death Penalty'!$L:$L,$B$2)+SUMIFS('Death Penalty'!$E:$E,'Death Penalty'!$B:$B,$A171,'Death Penalty'!$L:$L,$C$2))</f>
        <v/>
      </c>
      <c r="G171">
        <f>IF($A171="","",D171+E171-F171)</f>
        <v/>
      </c>
      <c r="H171">
        <f>IF($A171="","",SUMIFS(Incentives!$H:$H,Incentives!$B:$B,$A171,Incentives!$N:$N,$B$2)+SUMIFS(Incentives!$H:$H,Incentives!$B:$B,$A171,Incentives!$N:$N,$C$2))</f>
        <v/>
      </c>
      <c r="I171">
        <f>IF($A171="","",COUNTIFS(Schedule!$G:$G,$A171,Schedule!$U:$U,$B$2,Schedule!$P:$P,"&gt;0")+COUNTIFS('TL Schedule'!$C:$C,$A171,'TL Schedule'!$K:$K,$B$2,'TL Schedule'!$J:$J,"&gt;0")+COUNTIFS(Schedule!$G:$G,$A171,Schedule!$U:$U,$C$2,Schedule!$P:$P,"&gt;0")+COUNTIFS('TL Schedule'!$C:$C,$A171,'TL Schedule'!$K:$K,$C$2,'TL Schedule'!$J:$J,"&gt;0"))</f>
        <v/>
      </c>
      <c r="J171">
        <f>IF($A171="","",IFERROR(TEXTJOIN(", ",TRUE,UNIQUE(FILTER(Schedule!$D$2:$D50000,Schedule!$G$2:$G50000=$A171,Schedule!$P$2:$P50000&gt;0,((Schedule!$U$2:$U50000=$B$2)+(Schedule!$U$2:$U50000=$C$2))))),""))</f>
        <v/>
      </c>
    </row>
    <row r="172">
      <c r="B172">
        <f>IF($A172="","",SUMIFS(Schedule!$P:$P,Schedule!$G:$G,$A172,Schedule!$U:$U,$B$2)+SUMIFS('TL Schedule'!$J:$J,'TL Schedule'!$C:$C,$A172,'TL Schedule'!$K:$K,$B$2))</f>
        <v/>
      </c>
      <c r="C172">
        <f>IF($A172="","",SUMIFS(Schedule!$P:$P,Schedule!$G:$G,$A172,Schedule!$U:$U,$C$2)+SUMIFS('TL Schedule'!$J:$J,'TL Schedule'!$C:$C,$A172,'TL Schedule'!$K:$K,$C$2))</f>
        <v/>
      </c>
      <c r="D172">
        <f>IF($A172="","",B172+C172)</f>
        <v/>
      </c>
      <c r="E172">
        <f>IF($A172="","",SUMIFS(Overtime!$H:$H,Overtime!$B:$B,$A172,Overtime!$N:$N,$B$2)+SUMIFS(Overtime!$H:$H,Overtime!$B:$B,$A172,Overtime!$N:$N,$C$2))</f>
        <v/>
      </c>
      <c r="F172">
        <f>IF($A172="","",SUMIFS('Death Penalty'!$E:$E,'Death Penalty'!$B:$B,$A172,'Death Penalty'!$L:$L,$B$2)+SUMIFS('Death Penalty'!$E:$E,'Death Penalty'!$B:$B,$A172,'Death Penalty'!$L:$L,$C$2))</f>
        <v/>
      </c>
      <c r="G172">
        <f>IF($A172="","",D172+E172-F172)</f>
        <v/>
      </c>
      <c r="H172">
        <f>IF($A172="","",SUMIFS(Incentives!$H:$H,Incentives!$B:$B,$A172,Incentives!$N:$N,$B$2)+SUMIFS(Incentives!$H:$H,Incentives!$B:$B,$A172,Incentives!$N:$N,$C$2))</f>
        <v/>
      </c>
      <c r="I172">
        <f>IF($A172="","",COUNTIFS(Schedule!$G:$G,$A172,Schedule!$U:$U,$B$2,Schedule!$P:$P,"&gt;0")+COUNTIFS('TL Schedule'!$C:$C,$A172,'TL Schedule'!$K:$K,$B$2,'TL Schedule'!$J:$J,"&gt;0")+COUNTIFS(Schedule!$G:$G,$A172,Schedule!$U:$U,$C$2,Schedule!$P:$P,"&gt;0")+COUNTIFS('TL Schedule'!$C:$C,$A172,'TL Schedule'!$K:$K,$C$2,'TL Schedule'!$J:$J,"&gt;0"))</f>
        <v/>
      </c>
      <c r="J172">
        <f>IF($A172="","",IFERROR(TEXTJOIN(", ",TRUE,UNIQUE(FILTER(Schedule!$D$2:$D50000,Schedule!$G$2:$G50000=$A172,Schedule!$P$2:$P50000&gt;0,((Schedule!$U$2:$U50000=$B$2)+(Schedule!$U$2:$U50000=$C$2))))),""))</f>
        <v/>
      </c>
    </row>
    <row r="173">
      <c r="B173">
        <f>IF($A173="","",SUMIFS(Schedule!$P:$P,Schedule!$G:$G,$A173,Schedule!$U:$U,$B$2)+SUMIFS('TL Schedule'!$J:$J,'TL Schedule'!$C:$C,$A173,'TL Schedule'!$K:$K,$B$2))</f>
        <v/>
      </c>
      <c r="C173">
        <f>IF($A173="","",SUMIFS(Schedule!$P:$P,Schedule!$G:$G,$A173,Schedule!$U:$U,$C$2)+SUMIFS('TL Schedule'!$J:$J,'TL Schedule'!$C:$C,$A173,'TL Schedule'!$K:$K,$C$2))</f>
        <v/>
      </c>
      <c r="D173">
        <f>IF($A173="","",B173+C173)</f>
        <v/>
      </c>
      <c r="E173">
        <f>IF($A173="","",SUMIFS(Overtime!$H:$H,Overtime!$B:$B,$A173,Overtime!$N:$N,$B$2)+SUMIFS(Overtime!$H:$H,Overtime!$B:$B,$A173,Overtime!$N:$N,$C$2))</f>
        <v/>
      </c>
      <c r="F173">
        <f>IF($A173="","",SUMIFS('Death Penalty'!$E:$E,'Death Penalty'!$B:$B,$A173,'Death Penalty'!$L:$L,$B$2)+SUMIFS('Death Penalty'!$E:$E,'Death Penalty'!$B:$B,$A173,'Death Penalty'!$L:$L,$C$2))</f>
        <v/>
      </c>
      <c r="G173">
        <f>IF($A173="","",D173+E173-F173)</f>
        <v/>
      </c>
      <c r="H173">
        <f>IF($A173="","",SUMIFS(Incentives!$H:$H,Incentives!$B:$B,$A173,Incentives!$N:$N,$B$2)+SUMIFS(Incentives!$H:$H,Incentives!$B:$B,$A173,Incentives!$N:$N,$C$2))</f>
        <v/>
      </c>
      <c r="I173">
        <f>IF($A173="","",COUNTIFS(Schedule!$G:$G,$A173,Schedule!$U:$U,$B$2,Schedule!$P:$P,"&gt;0")+COUNTIFS('TL Schedule'!$C:$C,$A173,'TL Schedule'!$K:$K,$B$2,'TL Schedule'!$J:$J,"&gt;0")+COUNTIFS(Schedule!$G:$G,$A173,Schedule!$U:$U,$C$2,Schedule!$P:$P,"&gt;0")+COUNTIFS('TL Schedule'!$C:$C,$A173,'TL Schedule'!$K:$K,$C$2,'TL Schedule'!$J:$J,"&gt;0"))</f>
        <v/>
      </c>
      <c r="J173">
        <f>IF($A173="","",IFERROR(TEXTJOIN(", ",TRUE,UNIQUE(FILTER(Schedule!$D$2:$D50000,Schedule!$G$2:$G50000=$A173,Schedule!$P$2:$P50000&gt;0,((Schedule!$U$2:$U50000=$B$2)+(Schedule!$U$2:$U50000=$C$2))))),""))</f>
        <v/>
      </c>
    </row>
    <row r="174">
      <c r="B174">
        <f>IF($A174="","",SUMIFS(Schedule!$P:$P,Schedule!$G:$G,$A174,Schedule!$U:$U,$B$2)+SUMIFS('TL Schedule'!$J:$J,'TL Schedule'!$C:$C,$A174,'TL Schedule'!$K:$K,$B$2))</f>
        <v/>
      </c>
      <c r="C174">
        <f>IF($A174="","",SUMIFS(Schedule!$P:$P,Schedule!$G:$G,$A174,Schedule!$U:$U,$C$2)+SUMIFS('TL Schedule'!$J:$J,'TL Schedule'!$C:$C,$A174,'TL Schedule'!$K:$K,$C$2))</f>
        <v/>
      </c>
      <c r="D174">
        <f>IF($A174="","",B174+C174)</f>
        <v/>
      </c>
      <c r="E174">
        <f>IF($A174="","",SUMIFS(Overtime!$H:$H,Overtime!$B:$B,$A174,Overtime!$N:$N,$B$2)+SUMIFS(Overtime!$H:$H,Overtime!$B:$B,$A174,Overtime!$N:$N,$C$2))</f>
        <v/>
      </c>
      <c r="F174">
        <f>IF($A174="","",SUMIFS('Death Penalty'!$E:$E,'Death Penalty'!$B:$B,$A174,'Death Penalty'!$L:$L,$B$2)+SUMIFS('Death Penalty'!$E:$E,'Death Penalty'!$B:$B,$A174,'Death Penalty'!$L:$L,$C$2))</f>
        <v/>
      </c>
      <c r="G174">
        <f>IF($A174="","",D174+E174-F174)</f>
        <v/>
      </c>
      <c r="H174">
        <f>IF($A174="","",SUMIFS(Incentives!$H:$H,Incentives!$B:$B,$A174,Incentives!$N:$N,$B$2)+SUMIFS(Incentives!$H:$H,Incentives!$B:$B,$A174,Incentives!$N:$N,$C$2))</f>
        <v/>
      </c>
      <c r="I174">
        <f>IF($A174="","",COUNTIFS(Schedule!$G:$G,$A174,Schedule!$U:$U,$B$2,Schedule!$P:$P,"&gt;0")+COUNTIFS('TL Schedule'!$C:$C,$A174,'TL Schedule'!$K:$K,$B$2,'TL Schedule'!$J:$J,"&gt;0")+COUNTIFS(Schedule!$G:$G,$A174,Schedule!$U:$U,$C$2,Schedule!$P:$P,"&gt;0")+COUNTIFS('TL Schedule'!$C:$C,$A174,'TL Schedule'!$K:$K,$C$2,'TL Schedule'!$J:$J,"&gt;0"))</f>
        <v/>
      </c>
      <c r="J174">
        <f>IF($A174="","",IFERROR(TEXTJOIN(", ",TRUE,UNIQUE(FILTER(Schedule!$D$2:$D50000,Schedule!$G$2:$G50000=$A174,Schedule!$P$2:$P50000&gt;0,((Schedule!$U$2:$U50000=$B$2)+(Schedule!$U$2:$U50000=$C$2))))),""))</f>
        <v/>
      </c>
    </row>
    <row r="175">
      <c r="B175">
        <f>IF($A175="","",SUMIFS(Schedule!$P:$P,Schedule!$G:$G,$A175,Schedule!$U:$U,$B$2)+SUMIFS('TL Schedule'!$J:$J,'TL Schedule'!$C:$C,$A175,'TL Schedule'!$K:$K,$B$2))</f>
        <v/>
      </c>
      <c r="C175">
        <f>IF($A175="","",SUMIFS(Schedule!$P:$P,Schedule!$G:$G,$A175,Schedule!$U:$U,$C$2)+SUMIFS('TL Schedule'!$J:$J,'TL Schedule'!$C:$C,$A175,'TL Schedule'!$K:$K,$C$2))</f>
        <v/>
      </c>
      <c r="D175">
        <f>IF($A175="","",B175+C175)</f>
        <v/>
      </c>
      <c r="E175">
        <f>IF($A175="","",SUMIFS(Overtime!$H:$H,Overtime!$B:$B,$A175,Overtime!$N:$N,$B$2)+SUMIFS(Overtime!$H:$H,Overtime!$B:$B,$A175,Overtime!$N:$N,$C$2))</f>
        <v/>
      </c>
      <c r="F175">
        <f>IF($A175="","",SUMIFS('Death Penalty'!$E:$E,'Death Penalty'!$B:$B,$A175,'Death Penalty'!$L:$L,$B$2)+SUMIFS('Death Penalty'!$E:$E,'Death Penalty'!$B:$B,$A175,'Death Penalty'!$L:$L,$C$2))</f>
        <v/>
      </c>
      <c r="G175">
        <f>IF($A175="","",D175+E175-F175)</f>
        <v/>
      </c>
      <c r="H175">
        <f>IF($A175="","",SUMIFS(Incentives!$H:$H,Incentives!$B:$B,$A175,Incentives!$N:$N,$B$2)+SUMIFS(Incentives!$H:$H,Incentives!$B:$B,$A175,Incentives!$N:$N,$C$2))</f>
        <v/>
      </c>
      <c r="I175">
        <f>IF($A175="","",COUNTIFS(Schedule!$G:$G,$A175,Schedule!$U:$U,$B$2,Schedule!$P:$P,"&gt;0")+COUNTIFS('TL Schedule'!$C:$C,$A175,'TL Schedule'!$K:$K,$B$2,'TL Schedule'!$J:$J,"&gt;0")+COUNTIFS(Schedule!$G:$G,$A175,Schedule!$U:$U,$C$2,Schedule!$P:$P,"&gt;0")+COUNTIFS('TL Schedule'!$C:$C,$A175,'TL Schedule'!$K:$K,$C$2,'TL Schedule'!$J:$J,"&gt;0"))</f>
        <v/>
      </c>
      <c r="J175">
        <f>IF($A175="","",IFERROR(TEXTJOIN(", ",TRUE,UNIQUE(FILTER(Schedule!$D$2:$D50000,Schedule!$G$2:$G50000=$A175,Schedule!$P$2:$P50000&gt;0,((Schedule!$U$2:$U50000=$B$2)+(Schedule!$U$2:$U50000=$C$2))))),""))</f>
        <v/>
      </c>
    </row>
    <row r="176">
      <c r="B176">
        <f>IF($A176="","",SUMIFS(Schedule!$P:$P,Schedule!$G:$G,$A176,Schedule!$U:$U,$B$2)+SUMIFS('TL Schedule'!$J:$J,'TL Schedule'!$C:$C,$A176,'TL Schedule'!$K:$K,$B$2))</f>
        <v/>
      </c>
      <c r="C176">
        <f>IF($A176="","",SUMIFS(Schedule!$P:$P,Schedule!$G:$G,$A176,Schedule!$U:$U,$C$2)+SUMIFS('TL Schedule'!$J:$J,'TL Schedule'!$C:$C,$A176,'TL Schedule'!$K:$K,$C$2))</f>
        <v/>
      </c>
      <c r="D176">
        <f>IF($A176="","",B176+C176)</f>
        <v/>
      </c>
      <c r="E176">
        <f>IF($A176="","",SUMIFS(Overtime!$H:$H,Overtime!$B:$B,$A176,Overtime!$N:$N,$B$2)+SUMIFS(Overtime!$H:$H,Overtime!$B:$B,$A176,Overtime!$N:$N,$C$2))</f>
        <v/>
      </c>
      <c r="F176">
        <f>IF($A176="","",SUMIFS('Death Penalty'!$E:$E,'Death Penalty'!$B:$B,$A176,'Death Penalty'!$L:$L,$B$2)+SUMIFS('Death Penalty'!$E:$E,'Death Penalty'!$B:$B,$A176,'Death Penalty'!$L:$L,$C$2))</f>
        <v/>
      </c>
      <c r="G176">
        <f>IF($A176="","",D176+E176-F176)</f>
        <v/>
      </c>
      <c r="H176">
        <f>IF($A176="","",SUMIFS(Incentives!$H:$H,Incentives!$B:$B,$A176,Incentives!$N:$N,$B$2)+SUMIFS(Incentives!$H:$H,Incentives!$B:$B,$A176,Incentives!$N:$N,$C$2))</f>
        <v/>
      </c>
      <c r="I176">
        <f>IF($A176="","",COUNTIFS(Schedule!$G:$G,$A176,Schedule!$U:$U,$B$2,Schedule!$P:$P,"&gt;0")+COUNTIFS('TL Schedule'!$C:$C,$A176,'TL Schedule'!$K:$K,$B$2,'TL Schedule'!$J:$J,"&gt;0")+COUNTIFS(Schedule!$G:$G,$A176,Schedule!$U:$U,$C$2,Schedule!$P:$P,"&gt;0")+COUNTIFS('TL Schedule'!$C:$C,$A176,'TL Schedule'!$K:$K,$C$2,'TL Schedule'!$J:$J,"&gt;0"))</f>
        <v/>
      </c>
      <c r="J176">
        <f>IF($A176="","",IFERROR(TEXTJOIN(", ",TRUE,UNIQUE(FILTER(Schedule!$D$2:$D50000,Schedule!$G$2:$G50000=$A176,Schedule!$P$2:$P50000&gt;0,((Schedule!$U$2:$U50000=$B$2)+(Schedule!$U$2:$U50000=$C$2))))),""))</f>
        <v/>
      </c>
    </row>
    <row r="177">
      <c r="B177">
        <f>IF($A177="","",SUMIFS(Schedule!$P:$P,Schedule!$G:$G,$A177,Schedule!$U:$U,$B$2)+SUMIFS('TL Schedule'!$J:$J,'TL Schedule'!$C:$C,$A177,'TL Schedule'!$K:$K,$B$2))</f>
        <v/>
      </c>
      <c r="C177">
        <f>IF($A177="","",SUMIFS(Schedule!$P:$P,Schedule!$G:$G,$A177,Schedule!$U:$U,$C$2)+SUMIFS('TL Schedule'!$J:$J,'TL Schedule'!$C:$C,$A177,'TL Schedule'!$K:$K,$C$2))</f>
        <v/>
      </c>
      <c r="D177">
        <f>IF($A177="","",B177+C177)</f>
        <v/>
      </c>
      <c r="E177">
        <f>IF($A177="","",SUMIFS(Overtime!$H:$H,Overtime!$B:$B,$A177,Overtime!$N:$N,$B$2)+SUMIFS(Overtime!$H:$H,Overtime!$B:$B,$A177,Overtime!$N:$N,$C$2))</f>
        <v/>
      </c>
      <c r="F177">
        <f>IF($A177="","",SUMIFS('Death Penalty'!$E:$E,'Death Penalty'!$B:$B,$A177,'Death Penalty'!$L:$L,$B$2)+SUMIFS('Death Penalty'!$E:$E,'Death Penalty'!$B:$B,$A177,'Death Penalty'!$L:$L,$C$2))</f>
        <v/>
      </c>
      <c r="G177">
        <f>IF($A177="","",D177+E177-F177)</f>
        <v/>
      </c>
      <c r="H177">
        <f>IF($A177="","",SUMIFS(Incentives!$H:$H,Incentives!$B:$B,$A177,Incentives!$N:$N,$B$2)+SUMIFS(Incentives!$H:$H,Incentives!$B:$B,$A177,Incentives!$N:$N,$C$2))</f>
        <v/>
      </c>
      <c r="I177">
        <f>IF($A177="","",COUNTIFS(Schedule!$G:$G,$A177,Schedule!$U:$U,$B$2,Schedule!$P:$P,"&gt;0")+COUNTIFS('TL Schedule'!$C:$C,$A177,'TL Schedule'!$K:$K,$B$2,'TL Schedule'!$J:$J,"&gt;0")+COUNTIFS(Schedule!$G:$G,$A177,Schedule!$U:$U,$C$2,Schedule!$P:$P,"&gt;0")+COUNTIFS('TL Schedule'!$C:$C,$A177,'TL Schedule'!$K:$K,$C$2,'TL Schedule'!$J:$J,"&gt;0"))</f>
        <v/>
      </c>
      <c r="J177">
        <f>IF($A177="","",IFERROR(TEXTJOIN(", ",TRUE,UNIQUE(FILTER(Schedule!$D$2:$D50000,Schedule!$G$2:$G50000=$A177,Schedule!$P$2:$P50000&gt;0,((Schedule!$U$2:$U50000=$B$2)+(Schedule!$U$2:$U50000=$C$2))))),""))</f>
        <v/>
      </c>
    </row>
    <row r="178">
      <c r="B178">
        <f>IF($A178="","",SUMIFS(Schedule!$P:$P,Schedule!$G:$G,$A178,Schedule!$U:$U,$B$2)+SUMIFS('TL Schedule'!$J:$J,'TL Schedule'!$C:$C,$A178,'TL Schedule'!$K:$K,$B$2))</f>
        <v/>
      </c>
      <c r="C178">
        <f>IF($A178="","",SUMIFS(Schedule!$P:$P,Schedule!$G:$G,$A178,Schedule!$U:$U,$C$2)+SUMIFS('TL Schedule'!$J:$J,'TL Schedule'!$C:$C,$A178,'TL Schedule'!$K:$K,$C$2))</f>
        <v/>
      </c>
      <c r="D178">
        <f>IF($A178="","",B178+C178)</f>
        <v/>
      </c>
      <c r="E178">
        <f>IF($A178="","",SUMIFS(Overtime!$H:$H,Overtime!$B:$B,$A178,Overtime!$N:$N,$B$2)+SUMIFS(Overtime!$H:$H,Overtime!$B:$B,$A178,Overtime!$N:$N,$C$2))</f>
        <v/>
      </c>
      <c r="F178">
        <f>IF($A178="","",SUMIFS('Death Penalty'!$E:$E,'Death Penalty'!$B:$B,$A178,'Death Penalty'!$L:$L,$B$2)+SUMIFS('Death Penalty'!$E:$E,'Death Penalty'!$B:$B,$A178,'Death Penalty'!$L:$L,$C$2))</f>
        <v/>
      </c>
      <c r="G178">
        <f>IF($A178="","",D178+E178-F178)</f>
        <v/>
      </c>
      <c r="H178">
        <f>IF($A178="","",SUMIFS(Incentives!$H:$H,Incentives!$B:$B,$A178,Incentives!$N:$N,$B$2)+SUMIFS(Incentives!$H:$H,Incentives!$B:$B,$A178,Incentives!$N:$N,$C$2))</f>
        <v/>
      </c>
      <c r="I178">
        <f>IF($A178="","",COUNTIFS(Schedule!$G:$G,$A178,Schedule!$U:$U,$B$2,Schedule!$P:$P,"&gt;0")+COUNTIFS('TL Schedule'!$C:$C,$A178,'TL Schedule'!$K:$K,$B$2,'TL Schedule'!$J:$J,"&gt;0")+COUNTIFS(Schedule!$G:$G,$A178,Schedule!$U:$U,$C$2,Schedule!$P:$P,"&gt;0")+COUNTIFS('TL Schedule'!$C:$C,$A178,'TL Schedule'!$K:$K,$C$2,'TL Schedule'!$J:$J,"&gt;0"))</f>
        <v/>
      </c>
      <c r="J178">
        <f>IF($A178="","",IFERROR(TEXTJOIN(", ",TRUE,UNIQUE(FILTER(Schedule!$D$2:$D50000,Schedule!$G$2:$G50000=$A178,Schedule!$P$2:$P50000&gt;0,((Schedule!$U$2:$U50000=$B$2)+(Schedule!$U$2:$U50000=$C$2))))),""))</f>
        <v/>
      </c>
    </row>
    <row r="179">
      <c r="B179">
        <f>IF($A179="","",SUMIFS(Schedule!$P:$P,Schedule!$G:$G,$A179,Schedule!$U:$U,$B$2)+SUMIFS('TL Schedule'!$J:$J,'TL Schedule'!$C:$C,$A179,'TL Schedule'!$K:$K,$B$2))</f>
        <v/>
      </c>
      <c r="C179">
        <f>IF($A179="","",SUMIFS(Schedule!$P:$P,Schedule!$G:$G,$A179,Schedule!$U:$U,$C$2)+SUMIFS('TL Schedule'!$J:$J,'TL Schedule'!$C:$C,$A179,'TL Schedule'!$K:$K,$C$2))</f>
        <v/>
      </c>
      <c r="D179">
        <f>IF($A179="","",B179+C179)</f>
        <v/>
      </c>
      <c r="E179">
        <f>IF($A179="","",SUMIFS(Overtime!$H:$H,Overtime!$B:$B,$A179,Overtime!$N:$N,$B$2)+SUMIFS(Overtime!$H:$H,Overtime!$B:$B,$A179,Overtime!$N:$N,$C$2))</f>
        <v/>
      </c>
      <c r="F179">
        <f>IF($A179="","",SUMIFS('Death Penalty'!$E:$E,'Death Penalty'!$B:$B,$A179,'Death Penalty'!$L:$L,$B$2)+SUMIFS('Death Penalty'!$E:$E,'Death Penalty'!$B:$B,$A179,'Death Penalty'!$L:$L,$C$2))</f>
        <v/>
      </c>
      <c r="G179">
        <f>IF($A179="","",D179+E179-F179)</f>
        <v/>
      </c>
      <c r="H179">
        <f>IF($A179="","",SUMIFS(Incentives!$H:$H,Incentives!$B:$B,$A179,Incentives!$N:$N,$B$2)+SUMIFS(Incentives!$H:$H,Incentives!$B:$B,$A179,Incentives!$N:$N,$C$2))</f>
        <v/>
      </c>
      <c r="I179">
        <f>IF($A179="","",COUNTIFS(Schedule!$G:$G,$A179,Schedule!$U:$U,$B$2,Schedule!$P:$P,"&gt;0")+COUNTIFS('TL Schedule'!$C:$C,$A179,'TL Schedule'!$K:$K,$B$2,'TL Schedule'!$J:$J,"&gt;0")+COUNTIFS(Schedule!$G:$G,$A179,Schedule!$U:$U,$C$2,Schedule!$P:$P,"&gt;0")+COUNTIFS('TL Schedule'!$C:$C,$A179,'TL Schedule'!$K:$K,$C$2,'TL Schedule'!$J:$J,"&gt;0"))</f>
        <v/>
      </c>
      <c r="J179">
        <f>IF($A179="","",IFERROR(TEXTJOIN(", ",TRUE,UNIQUE(FILTER(Schedule!$D$2:$D50000,Schedule!$G$2:$G50000=$A179,Schedule!$P$2:$P50000&gt;0,((Schedule!$U$2:$U50000=$B$2)+(Schedule!$U$2:$U50000=$C$2))))),""))</f>
        <v/>
      </c>
    </row>
    <row r="180">
      <c r="B180">
        <f>IF($A180="","",SUMIFS(Schedule!$P:$P,Schedule!$G:$G,$A180,Schedule!$U:$U,$B$2)+SUMIFS('TL Schedule'!$J:$J,'TL Schedule'!$C:$C,$A180,'TL Schedule'!$K:$K,$B$2))</f>
        <v/>
      </c>
      <c r="C180">
        <f>IF($A180="","",SUMIFS(Schedule!$P:$P,Schedule!$G:$G,$A180,Schedule!$U:$U,$C$2)+SUMIFS('TL Schedule'!$J:$J,'TL Schedule'!$C:$C,$A180,'TL Schedule'!$K:$K,$C$2))</f>
        <v/>
      </c>
      <c r="D180">
        <f>IF($A180="","",B180+C180)</f>
        <v/>
      </c>
      <c r="E180">
        <f>IF($A180="","",SUMIFS(Overtime!$H:$H,Overtime!$B:$B,$A180,Overtime!$N:$N,$B$2)+SUMIFS(Overtime!$H:$H,Overtime!$B:$B,$A180,Overtime!$N:$N,$C$2))</f>
        <v/>
      </c>
      <c r="F180">
        <f>IF($A180="","",SUMIFS('Death Penalty'!$E:$E,'Death Penalty'!$B:$B,$A180,'Death Penalty'!$L:$L,$B$2)+SUMIFS('Death Penalty'!$E:$E,'Death Penalty'!$B:$B,$A180,'Death Penalty'!$L:$L,$C$2))</f>
        <v/>
      </c>
      <c r="G180">
        <f>IF($A180="","",D180+E180-F180)</f>
        <v/>
      </c>
      <c r="H180">
        <f>IF($A180="","",SUMIFS(Incentives!$H:$H,Incentives!$B:$B,$A180,Incentives!$N:$N,$B$2)+SUMIFS(Incentives!$H:$H,Incentives!$B:$B,$A180,Incentives!$N:$N,$C$2))</f>
        <v/>
      </c>
      <c r="I180">
        <f>IF($A180="","",COUNTIFS(Schedule!$G:$G,$A180,Schedule!$U:$U,$B$2,Schedule!$P:$P,"&gt;0")+COUNTIFS('TL Schedule'!$C:$C,$A180,'TL Schedule'!$K:$K,$B$2,'TL Schedule'!$J:$J,"&gt;0")+COUNTIFS(Schedule!$G:$G,$A180,Schedule!$U:$U,$C$2,Schedule!$P:$P,"&gt;0")+COUNTIFS('TL Schedule'!$C:$C,$A180,'TL Schedule'!$K:$K,$C$2,'TL Schedule'!$J:$J,"&gt;0"))</f>
        <v/>
      </c>
      <c r="J180">
        <f>IF($A180="","",IFERROR(TEXTJOIN(", ",TRUE,UNIQUE(FILTER(Schedule!$D$2:$D50000,Schedule!$G$2:$G50000=$A180,Schedule!$P$2:$P50000&gt;0,((Schedule!$U$2:$U50000=$B$2)+(Schedule!$U$2:$U50000=$C$2))))),""))</f>
        <v/>
      </c>
    </row>
    <row r="181">
      <c r="B181">
        <f>IF($A181="","",SUMIFS(Schedule!$P:$P,Schedule!$G:$G,$A181,Schedule!$U:$U,$B$2)+SUMIFS('TL Schedule'!$J:$J,'TL Schedule'!$C:$C,$A181,'TL Schedule'!$K:$K,$B$2))</f>
        <v/>
      </c>
      <c r="C181">
        <f>IF($A181="","",SUMIFS(Schedule!$P:$P,Schedule!$G:$G,$A181,Schedule!$U:$U,$C$2)+SUMIFS('TL Schedule'!$J:$J,'TL Schedule'!$C:$C,$A181,'TL Schedule'!$K:$K,$C$2))</f>
        <v/>
      </c>
      <c r="D181">
        <f>IF($A181="","",B181+C181)</f>
        <v/>
      </c>
      <c r="E181">
        <f>IF($A181="","",SUMIFS(Overtime!$H:$H,Overtime!$B:$B,$A181,Overtime!$N:$N,$B$2)+SUMIFS(Overtime!$H:$H,Overtime!$B:$B,$A181,Overtime!$N:$N,$C$2))</f>
        <v/>
      </c>
      <c r="F181">
        <f>IF($A181="","",SUMIFS('Death Penalty'!$E:$E,'Death Penalty'!$B:$B,$A181,'Death Penalty'!$L:$L,$B$2)+SUMIFS('Death Penalty'!$E:$E,'Death Penalty'!$B:$B,$A181,'Death Penalty'!$L:$L,$C$2))</f>
        <v/>
      </c>
      <c r="G181">
        <f>IF($A181="","",D181+E181-F181)</f>
        <v/>
      </c>
      <c r="H181">
        <f>IF($A181="","",SUMIFS(Incentives!$H:$H,Incentives!$B:$B,$A181,Incentives!$N:$N,$B$2)+SUMIFS(Incentives!$H:$H,Incentives!$B:$B,$A181,Incentives!$N:$N,$C$2))</f>
        <v/>
      </c>
      <c r="I181">
        <f>IF($A181="","",COUNTIFS(Schedule!$G:$G,$A181,Schedule!$U:$U,$B$2,Schedule!$P:$P,"&gt;0")+COUNTIFS('TL Schedule'!$C:$C,$A181,'TL Schedule'!$K:$K,$B$2,'TL Schedule'!$J:$J,"&gt;0")+COUNTIFS(Schedule!$G:$G,$A181,Schedule!$U:$U,$C$2,Schedule!$P:$P,"&gt;0")+COUNTIFS('TL Schedule'!$C:$C,$A181,'TL Schedule'!$K:$K,$C$2,'TL Schedule'!$J:$J,"&gt;0"))</f>
        <v/>
      </c>
      <c r="J181">
        <f>IF($A181="","",IFERROR(TEXTJOIN(", ",TRUE,UNIQUE(FILTER(Schedule!$D$2:$D50000,Schedule!$G$2:$G50000=$A181,Schedule!$P$2:$P50000&gt;0,((Schedule!$U$2:$U50000=$B$2)+(Schedule!$U$2:$U50000=$C$2))))),""))</f>
        <v/>
      </c>
    </row>
    <row r="182">
      <c r="B182">
        <f>IF($A182="","",SUMIFS(Schedule!$P:$P,Schedule!$G:$G,$A182,Schedule!$U:$U,$B$2)+SUMIFS('TL Schedule'!$J:$J,'TL Schedule'!$C:$C,$A182,'TL Schedule'!$K:$K,$B$2))</f>
        <v/>
      </c>
      <c r="C182">
        <f>IF($A182="","",SUMIFS(Schedule!$P:$P,Schedule!$G:$G,$A182,Schedule!$U:$U,$C$2)+SUMIFS('TL Schedule'!$J:$J,'TL Schedule'!$C:$C,$A182,'TL Schedule'!$K:$K,$C$2))</f>
        <v/>
      </c>
      <c r="D182">
        <f>IF($A182="","",B182+C182)</f>
        <v/>
      </c>
      <c r="E182">
        <f>IF($A182="","",SUMIFS(Overtime!$H:$H,Overtime!$B:$B,$A182,Overtime!$N:$N,$B$2)+SUMIFS(Overtime!$H:$H,Overtime!$B:$B,$A182,Overtime!$N:$N,$C$2))</f>
        <v/>
      </c>
      <c r="F182">
        <f>IF($A182="","",SUMIFS('Death Penalty'!$E:$E,'Death Penalty'!$B:$B,$A182,'Death Penalty'!$L:$L,$B$2)+SUMIFS('Death Penalty'!$E:$E,'Death Penalty'!$B:$B,$A182,'Death Penalty'!$L:$L,$C$2))</f>
        <v/>
      </c>
      <c r="G182">
        <f>IF($A182="","",D182+E182-F182)</f>
        <v/>
      </c>
      <c r="H182">
        <f>IF($A182="","",SUMIFS(Incentives!$H:$H,Incentives!$B:$B,$A182,Incentives!$N:$N,$B$2)+SUMIFS(Incentives!$H:$H,Incentives!$B:$B,$A182,Incentives!$N:$N,$C$2))</f>
        <v/>
      </c>
      <c r="I182">
        <f>IF($A182="","",COUNTIFS(Schedule!$G:$G,$A182,Schedule!$U:$U,$B$2,Schedule!$P:$P,"&gt;0")+COUNTIFS('TL Schedule'!$C:$C,$A182,'TL Schedule'!$K:$K,$B$2,'TL Schedule'!$J:$J,"&gt;0")+COUNTIFS(Schedule!$G:$G,$A182,Schedule!$U:$U,$C$2,Schedule!$P:$P,"&gt;0")+COUNTIFS('TL Schedule'!$C:$C,$A182,'TL Schedule'!$K:$K,$C$2,'TL Schedule'!$J:$J,"&gt;0"))</f>
        <v/>
      </c>
      <c r="J182">
        <f>IF($A182="","",IFERROR(TEXTJOIN(", ",TRUE,UNIQUE(FILTER(Schedule!$D$2:$D50000,Schedule!$G$2:$G50000=$A182,Schedule!$P$2:$P50000&gt;0,((Schedule!$U$2:$U50000=$B$2)+(Schedule!$U$2:$U50000=$C$2))))),""))</f>
        <v/>
      </c>
    </row>
    <row r="183">
      <c r="B183">
        <f>IF($A183="","",SUMIFS(Schedule!$P:$P,Schedule!$G:$G,$A183,Schedule!$U:$U,$B$2)+SUMIFS('TL Schedule'!$J:$J,'TL Schedule'!$C:$C,$A183,'TL Schedule'!$K:$K,$B$2))</f>
        <v/>
      </c>
      <c r="C183">
        <f>IF($A183="","",SUMIFS(Schedule!$P:$P,Schedule!$G:$G,$A183,Schedule!$U:$U,$C$2)+SUMIFS('TL Schedule'!$J:$J,'TL Schedule'!$C:$C,$A183,'TL Schedule'!$K:$K,$C$2))</f>
        <v/>
      </c>
      <c r="D183">
        <f>IF($A183="","",B183+C183)</f>
        <v/>
      </c>
      <c r="E183">
        <f>IF($A183="","",SUMIFS(Overtime!$H:$H,Overtime!$B:$B,$A183,Overtime!$N:$N,$B$2)+SUMIFS(Overtime!$H:$H,Overtime!$B:$B,$A183,Overtime!$N:$N,$C$2))</f>
        <v/>
      </c>
      <c r="F183">
        <f>IF($A183="","",SUMIFS('Death Penalty'!$E:$E,'Death Penalty'!$B:$B,$A183,'Death Penalty'!$L:$L,$B$2)+SUMIFS('Death Penalty'!$E:$E,'Death Penalty'!$B:$B,$A183,'Death Penalty'!$L:$L,$C$2))</f>
        <v/>
      </c>
      <c r="G183">
        <f>IF($A183="","",D183+E183-F183)</f>
        <v/>
      </c>
      <c r="H183">
        <f>IF($A183="","",SUMIFS(Incentives!$H:$H,Incentives!$B:$B,$A183,Incentives!$N:$N,$B$2)+SUMIFS(Incentives!$H:$H,Incentives!$B:$B,$A183,Incentives!$N:$N,$C$2))</f>
        <v/>
      </c>
      <c r="I183">
        <f>IF($A183="","",COUNTIFS(Schedule!$G:$G,$A183,Schedule!$U:$U,$B$2,Schedule!$P:$P,"&gt;0")+COUNTIFS('TL Schedule'!$C:$C,$A183,'TL Schedule'!$K:$K,$B$2,'TL Schedule'!$J:$J,"&gt;0")+COUNTIFS(Schedule!$G:$G,$A183,Schedule!$U:$U,$C$2,Schedule!$P:$P,"&gt;0")+COUNTIFS('TL Schedule'!$C:$C,$A183,'TL Schedule'!$K:$K,$C$2,'TL Schedule'!$J:$J,"&gt;0"))</f>
        <v/>
      </c>
      <c r="J183">
        <f>IF($A183="","",IFERROR(TEXTJOIN(", ",TRUE,UNIQUE(FILTER(Schedule!$D$2:$D50000,Schedule!$G$2:$G50000=$A183,Schedule!$P$2:$P50000&gt;0,((Schedule!$U$2:$U50000=$B$2)+(Schedule!$U$2:$U50000=$C$2))))),""))</f>
        <v/>
      </c>
    </row>
    <row r="184">
      <c r="B184">
        <f>IF($A184="","",SUMIFS(Schedule!$P:$P,Schedule!$G:$G,$A184,Schedule!$U:$U,$B$2)+SUMIFS('TL Schedule'!$J:$J,'TL Schedule'!$C:$C,$A184,'TL Schedule'!$K:$K,$B$2))</f>
        <v/>
      </c>
      <c r="C184">
        <f>IF($A184="","",SUMIFS(Schedule!$P:$P,Schedule!$G:$G,$A184,Schedule!$U:$U,$C$2)+SUMIFS('TL Schedule'!$J:$J,'TL Schedule'!$C:$C,$A184,'TL Schedule'!$K:$K,$C$2))</f>
        <v/>
      </c>
      <c r="D184">
        <f>IF($A184="","",B184+C184)</f>
        <v/>
      </c>
      <c r="E184">
        <f>IF($A184="","",SUMIFS(Overtime!$H:$H,Overtime!$B:$B,$A184,Overtime!$N:$N,$B$2)+SUMIFS(Overtime!$H:$H,Overtime!$B:$B,$A184,Overtime!$N:$N,$C$2))</f>
        <v/>
      </c>
      <c r="F184">
        <f>IF($A184="","",SUMIFS('Death Penalty'!$E:$E,'Death Penalty'!$B:$B,$A184,'Death Penalty'!$L:$L,$B$2)+SUMIFS('Death Penalty'!$E:$E,'Death Penalty'!$B:$B,$A184,'Death Penalty'!$L:$L,$C$2))</f>
        <v/>
      </c>
      <c r="G184">
        <f>IF($A184="","",D184+E184-F184)</f>
        <v/>
      </c>
      <c r="H184">
        <f>IF($A184="","",SUMIFS(Incentives!$H:$H,Incentives!$B:$B,$A184,Incentives!$N:$N,$B$2)+SUMIFS(Incentives!$H:$H,Incentives!$B:$B,$A184,Incentives!$N:$N,$C$2))</f>
        <v/>
      </c>
      <c r="I184">
        <f>IF($A184="","",COUNTIFS(Schedule!$G:$G,$A184,Schedule!$U:$U,$B$2,Schedule!$P:$P,"&gt;0")+COUNTIFS('TL Schedule'!$C:$C,$A184,'TL Schedule'!$K:$K,$B$2,'TL Schedule'!$J:$J,"&gt;0")+COUNTIFS(Schedule!$G:$G,$A184,Schedule!$U:$U,$C$2,Schedule!$P:$P,"&gt;0")+COUNTIFS('TL Schedule'!$C:$C,$A184,'TL Schedule'!$K:$K,$C$2,'TL Schedule'!$J:$J,"&gt;0"))</f>
        <v/>
      </c>
      <c r="J184">
        <f>IF($A184="","",IFERROR(TEXTJOIN(", ",TRUE,UNIQUE(FILTER(Schedule!$D$2:$D50000,Schedule!$G$2:$G50000=$A184,Schedule!$P$2:$P50000&gt;0,((Schedule!$U$2:$U50000=$B$2)+(Schedule!$U$2:$U50000=$C$2))))),""))</f>
        <v/>
      </c>
    </row>
    <row r="185">
      <c r="B185">
        <f>IF($A185="","",SUMIFS(Schedule!$P:$P,Schedule!$G:$G,$A185,Schedule!$U:$U,$B$2)+SUMIFS('TL Schedule'!$J:$J,'TL Schedule'!$C:$C,$A185,'TL Schedule'!$K:$K,$B$2))</f>
        <v/>
      </c>
      <c r="C185">
        <f>IF($A185="","",SUMIFS(Schedule!$P:$P,Schedule!$G:$G,$A185,Schedule!$U:$U,$C$2)+SUMIFS('TL Schedule'!$J:$J,'TL Schedule'!$C:$C,$A185,'TL Schedule'!$K:$K,$C$2))</f>
        <v/>
      </c>
      <c r="D185">
        <f>IF($A185="","",B185+C185)</f>
        <v/>
      </c>
      <c r="E185">
        <f>IF($A185="","",SUMIFS(Overtime!$H:$H,Overtime!$B:$B,$A185,Overtime!$N:$N,$B$2)+SUMIFS(Overtime!$H:$H,Overtime!$B:$B,$A185,Overtime!$N:$N,$C$2))</f>
        <v/>
      </c>
      <c r="F185">
        <f>IF($A185="","",SUMIFS('Death Penalty'!$E:$E,'Death Penalty'!$B:$B,$A185,'Death Penalty'!$L:$L,$B$2)+SUMIFS('Death Penalty'!$E:$E,'Death Penalty'!$B:$B,$A185,'Death Penalty'!$L:$L,$C$2))</f>
        <v/>
      </c>
      <c r="G185">
        <f>IF($A185="","",D185+E185-F185)</f>
        <v/>
      </c>
      <c r="H185">
        <f>IF($A185="","",SUMIFS(Incentives!$H:$H,Incentives!$B:$B,$A185,Incentives!$N:$N,$B$2)+SUMIFS(Incentives!$H:$H,Incentives!$B:$B,$A185,Incentives!$N:$N,$C$2))</f>
        <v/>
      </c>
      <c r="I185">
        <f>IF($A185="","",COUNTIFS(Schedule!$G:$G,$A185,Schedule!$U:$U,$B$2,Schedule!$P:$P,"&gt;0")+COUNTIFS('TL Schedule'!$C:$C,$A185,'TL Schedule'!$K:$K,$B$2,'TL Schedule'!$J:$J,"&gt;0")+COUNTIFS(Schedule!$G:$G,$A185,Schedule!$U:$U,$C$2,Schedule!$P:$P,"&gt;0")+COUNTIFS('TL Schedule'!$C:$C,$A185,'TL Schedule'!$K:$K,$C$2,'TL Schedule'!$J:$J,"&gt;0"))</f>
        <v/>
      </c>
      <c r="J185">
        <f>IF($A185="","",IFERROR(TEXTJOIN(", ",TRUE,UNIQUE(FILTER(Schedule!$D$2:$D50000,Schedule!$G$2:$G50000=$A185,Schedule!$P$2:$P50000&gt;0,((Schedule!$U$2:$U50000=$B$2)+(Schedule!$U$2:$U50000=$C$2))))),""))</f>
        <v/>
      </c>
    </row>
    <row r="186">
      <c r="B186">
        <f>IF($A186="","",SUMIFS(Schedule!$P:$P,Schedule!$G:$G,$A186,Schedule!$U:$U,$B$2)+SUMIFS('TL Schedule'!$J:$J,'TL Schedule'!$C:$C,$A186,'TL Schedule'!$K:$K,$B$2))</f>
        <v/>
      </c>
      <c r="C186">
        <f>IF($A186="","",SUMIFS(Schedule!$P:$P,Schedule!$G:$G,$A186,Schedule!$U:$U,$C$2)+SUMIFS('TL Schedule'!$J:$J,'TL Schedule'!$C:$C,$A186,'TL Schedule'!$K:$K,$C$2))</f>
        <v/>
      </c>
      <c r="D186">
        <f>IF($A186="","",B186+C186)</f>
        <v/>
      </c>
      <c r="E186">
        <f>IF($A186="","",SUMIFS(Overtime!$H:$H,Overtime!$B:$B,$A186,Overtime!$N:$N,$B$2)+SUMIFS(Overtime!$H:$H,Overtime!$B:$B,$A186,Overtime!$N:$N,$C$2))</f>
        <v/>
      </c>
      <c r="F186">
        <f>IF($A186="","",SUMIFS('Death Penalty'!$E:$E,'Death Penalty'!$B:$B,$A186,'Death Penalty'!$L:$L,$B$2)+SUMIFS('Death Penalty'!$E:$E,'Death Penalty'!$B:$B,$A186,'Death Penalty'!$L:$L,$C$2))</f>
        <v/>
      </c>
      <c r="G186">
        <f>IF($A186="","",D186+E186-F186)</f>
        <v/>
      </c>
      <c r="H186">
        <f>IF($A186="","",SUMIFS(Incentives!$H:$H,Incentives!$B:$B,$A186,Incentives!$N:$N,$B$2)+SUMIFS(Incentives!$H:$H,Incentives!$B:$B,$A186,Incentives!$N:$N,$C$2))</f>
        <v/>
      </c>
      <c r="I186">
        <f>IF($A186="","",COUNTIFS(Schedule!$G:$G,$A186,Schedule!$U:$U,$B$2,Schedule!$P:$P,"&gt;0")+COUNTIFS('TL Schedule'!$C:$C,$A186,'TL Schedule'!$K:$K,$B$2,'TL Schedule'!$J:$J,"&gt;0")+COUNTIFS(Schedule!$G:$G,$A186,Schedule!$U:$U,$C$2,Schedule!$P:$P,"&gt;0")+COUNTIFS('TL Schedule'!$C:$C,$A186,'TL Schedule'!$K:$K,$C$2,'TL Schedule'!$J:$J,"&gt;0"))</f>
        <v/>
      </c>
      <c r="J186">
        <f>IF($A186="","",IFERROR(TEXTJOIN(", ",TRUE,UNIQUE(FILTER(Schedule!$D$2:$D50000,Schedule!$G$2:$G50000=$A186,Schedule!$P$2:$P50000&gt;0,((Schedule!$U$2:$U50000=$B$2)+(Schedule!$U$2:$U50000=$C$2))))),""))</f>
        <v/>
      </c>
    </row>
    <row r="187">
      <c r="B187">
        <f>IF($A187="","",SUMIFS(Schedule!$P:$P,Schedule!$G:$G,$A187,Schedule!$U:$U,$B$2)+SUMIFS('TL Schedule'!$J:$J,'TL Schedule'!$C:$C,$A187,'TL Schedule'!$K:$K,$B$2))</f>
        <v/>
      </c>
      <c r="C187">
        <f>IF($A187="","",SUMIFS(Schedule!$P:$P,Schedule!$G:$G,$A187,Schedule!$U:$U,$C$2)+SUMIFS('TL Schedule'!$J:$J,'TL Schedule'!$C:$C,$A187,'TL Schedule'!$K:$K,$C$2))</f>
        <v/>
      </c>
      <c r="D187">
        <f>IF($A187="","",B187+C187)</f>
        <v/>
      </c>
      <c r="E187">
        <f>IF($A187="","",SUMIFS(Overtime!$H:$H,Overtime!$B:$B,$A187,Overtime!$N:$N,$B$2)+SUMIFS(Overtime!$H:$H,Overtime!$B:$B,$A187,Overtime!$N:$N,$C$2))</f>
        <v/>
      </c>
      <c r="F187">
        <f>IF($A187="","",SUMIFS('Death Penalty'!$E:$E,'Death Penalty'!$B:$B,$A187,'Death Penalty'!$L:$L,$B$2)+SUMIFS('Death Penalty'!$E:$E,'Death Penalty'!$B:$B,$A187,'Death Penalty'!$L:$L,$C$2))</f>
        <v/>
      </c>
      <c r="G187">
        <f>IF($A187="","",D187+E187-F187)</f>
        <v/>
      </c>
      <c r="H187">
        <f>IF($A187="","",SUMIFS(Incentives!$H:$H,Incentives!$B:$B,$A187,Incentives!$N:$N,$B$2)+SUMIFS(Incentives!$H:$H,Incentives!$B:$B,$A187,Incentives!$N:$N,$C$2))</f>
        <v/>
      </c>
      <c r="I187">
        <f>IF($A187="","",COUNTIFS(Schedule!$G:$G,$A187,Schedule!$U:$U,$B$2,Schedule!$P:$P,"&gt;0")+COUNTIFS('TL Schedule'!$C:$C,$A187,'TL Schedule'!$K:$K,$B$2,'TL Schedule'!$J:$J,"&gt;0")+COUNTIFS(Schedule!$G:$G,$A187,Schedule!$U:$U,$C$2,Schedule!$P:$P,"&gt;0")+COUNTIFS('TL Schedule'!$C:$C,$A187,'TL Schedule'!$K:$K,$C$2,'TL Schedule'!$J:$J,"&gt;0"))</f>
        <v/>
      </c>
      <c r="J187">
        <f>IF($A187="","",IFERROR(TEXTJOIN(", ",TRUE,UNIQUE(FILTER(Schedule!$D$2:$D50000,Schedule!$G$2:$G50000=$A187,Schedule!$P$2:$P50000&gt;0,((Schedule!$U$2:$U50000=$B$2)+(Schedule!$U$2:$U50000=$C$2))))),""))</f>
        <v/>
      </c>
    </row>
    <row r="188">
      <c r="B188">
        <f>IF($A188="","",SUMIFS(Schedule!$P:$P,Schedule!$G:$G,$A188,Schedule!$U:$U,$B$2)+SUMIFS('TL Schedule'!$J:$J,'TL Schedule'!$C:$C,$A188,'TL Schedule'!$K:$K,$B$2))</f>
        <v/>
      </c>
      <c r="C188">
        <f>IF($A188="","",SUMIFS(Schedule!$P:$P,Schedule!$G:$G,$A188,Schedule!$U:$U,$C$2)+SUMIFS('TL Schedule'!$J:$J,'TL Schedule'!$C:$C,$A188,'TL Schedule'!$K:$K,$C$2))</f>
        <v/>
      </c>
      <c r="D188">
        <f>IF($A188="","",B188+C188)</f>
        <v/>
      </c>
      <c r="E188">
        <f>IF($A188="","",SUMIFS(Overtime!$H:$H,Overtime!$B:$B,$A188,Overtime!$N:$N,$B$2)+SUMIFS(Overtime!$H:$H,Overtime!$B:$B,$A188,Overtime!$N:$N,$C$2))</f>
        <v/>
      </c>
      <c r="F188">
        <f>IF($A188="","",SUMIFS('Death Penalty'!$E:$E,'Death Penalty'!$B:$B,$A188,'Death Penalty'!$L:$L,$B$2)+SUMIFS('Death Penalty'!$E:$E,'Death Penalty'!$B:$B,$A188,'Death Penalty'!$L:$L,$C$2))</f>
        <v/>
      </c>
      <c r="G188">
        <f>IF($A188="","",D188+E188-F188)</f>
        <v/>
      </c>
      <c r="H188">
        <f>IF($A188="","",SUMIFS(Incentives!$H:$H,Incentives!$B:$B,$A188,Incentives!$N:$N,$B$2)+SUMIFS(Incentives!$H:$H,Incentives!$B:$B,$A188,Incentives!$N:$N,$C$2))</f>
        <v/>
      </c>
      <c r="I188">
        <f>IF($A188="","",COUNTIFS(Schedule!$G:$G,$A188,Schedule!$U:$U,$B$2,Schedule!$P:$P,"&gt;0")+COUNTIFS('TL Schedule'!$C:$C,$A188,'TL Schedule'!$K:$K,$B$2,'TL Schedule'!$J:$J,"&gt;0")+COUNTIFS(Schedule!$G:$G,$A188,Schedule!$U:$U,$C$2,Schedule!$P:$P,"&gt;0")+COUNTIFS('TL Schedule'!$C:$C,$A188,'TL Schedule'!$K:$K,$C$2,'TL Schedule'!$J:$J,"&gt;0"))</f>
        <v/>
      </c>
      <c r="J188">
        <f>IF($A188="","",IFERROR(TEXTJOIN(", ",TRUE,UNIQUE(FILTER(Schedule!$D$2:$D50000,Schedule!$G$2:$G50000=$A188,Schedule!$P$2:$P50000&gt;0,((Schedule!$U$2:$U50000=$B$2)+(Schedule!$U$2:$U50000=$C$2))))),""))</f>
        <v/>
      </c>
    </row>
    <row r="189">
      <c r="B189">
        <f>IF($A189="","",SUMIFS(Schedule!$P:$P,Schedule!$G:$G,$A189,Schedule!$U:$U,$B$2)+SUMIFS('TL Schedule'!$J:$J,'TL Schedule'!$C:$C,$A189,'TL Schedule'!$K:$K,$B$2))</f>
        <v/>
      </c>
      <c r="C189">
        <f>IF($A189="","",SUMIFS(Schedule!$P:$P,Schedule!$G:$G,$A189,Schedule!$U:$U,$C$2)+SUMIFS('TL Schedule'!$J:$J,'TL Schedule'!$C:$C,$A189,'TL Schedule'!$K:$K,$C$2))</f>
        <v/>
      </c>
      <c r="D189">
        <f>IF($A189="","",B189+C189)</f>
        <v/>
      </c>
      <c r="E189">
        <f>IF($A189="","",SUMIFS(Overtime!$H:$H,Overtime!$B:$B,$A189,Overtime!$N:$N,$B$2)+SUMIFS(Overtime!$H:$H,Overtime!$B:$B,$A189,Overtime!$N:$N,$C$2))</f>
        <v/>
      </c>
      <c r="F189">
        <f>IF($A189="","",SUMIFS('Death Penalty'!$E:$E,'Death Penalty'!$B:$B,$A189,'Death Penalty'!$L:$L,$B$2)+SUMIFS('Death Penalty'!$E:$E,'Death Penalty'!$B:$B,$A189,'Death Penalty'!$L:$L,$C$2))</f>
        <v/>
      </c>
      <c r="G189">
        <f>IF($A189="","",D189+E189-F189)</f>
        <v/>
      </c>
      <c r="H189">
        <f>IF($A189="","",SUMIFS(Incentives!$H:$H,Incentives!$B:$B,$A189,Incentives!$N:$N,$B$2)+SUMIFS(Incentives!$H:$H,Incentives!$B:$B,$A189,Incentives!$N:$N,$C$2))</f>
        <v/>
      </c>
      <c r="I189">
        <f>IF($A189="","",COUNTIFS(Schedule!$G:$G,$A189,Schedule!$U:$U,$B$2,Schedule!$P:$P,"&gt;0")+COUNTIFS('TL Schedule'!$C:$C,$A189,'TL Schedule'!$K:$K,$B$2,'TL Schedule'!$J:$J,"&gt;0")+COUNTIFS(Schedule!$G:$G,$A189,Schedule!$U:$U,$C$2,Schedule!$P:$P,"&gt;0")+COUNTIFS('TL Schedule'!$C:$C,$A189,'TL Schedule'!$K:$K,$C$2,'TL Schedule'!$J:$J,"&gt;0"))</f>
        <v/>
      </c>
      <c r="J189">
        <f>IF($A189="","",IFERROR(TEXTJOIN(", ",TRUE,UNIQUE(FILTER(Schedule!$D$2:$D50000,Schedule!$G$2:$G50000=$A189,Schedule!$P$2:$P50000&gt;0,((Schedule!$U$2:$U50000=$B$2)+(Schedule!$U$2:$U50000=$C$2))))),""))</f>
        <v/>
      </c>
    </row>
    <row r="190">
      <c r="B190">
        <f>IF($A190="","",SUMIFS(Schedule!$P:$P,Schedule!$G:$G,$A190,Schedule!$U:$U,$B$2)+SUMIFS('TL Schedule'!$J:$J,'TL Schedule'!$C:$C,$A190,'TL Schedule'!$K:$K,$B$2))</f>
        <v/>
      </c>
      <c r="C190">
        <f>IF($A190="","",SUMIFS(Schedule!$P:$P,Schedule!$G:$G,$A190,Schedule!$U:$U,$C$2)+SUMIFS('TL Schedule'!$J:$J,'TL Schedule'!$C:$C,$A190,'TL Schedule'!$K:$K,$C$2))</f>
        <v/>
      </c>
      <c r="D190">
        <f>IF($A190="","",B190+C190)</f>
        <v/>
      </c>
      <c r="E190">
        <f>IF($A190="","",SUMIFS(Overtime!$H:$H,Overtime!$B:$B,$A190,Overtime!$N:$N,$B$2)+SUMIFS(Overtime!$H:$H,Overtime!$B:$B,$A190,Overtime!$N:$N,$C$2))</f>
        <v/>
      </c>
      <c r="F190">
        <f>IF($A190="","",SUMIFS('Death Penalty'!$E:$E,'Death Penalty'!$B:$B,$A190,'Death Penalty'!$L:$L,$B$2)+SUMIFS('Death Penalty'!$E:$E,'Death Penalty'!$B:$B,$A190,'Death Penalty'!$L:$L,$C$2))</f>
        <v/>
      </c>
      <c r="G190">
        <f>IF($A190="","",D190+E190-F190)</f>
        <v/>
      </c>
      <c r="H190">
        <f>IF($A190="","",SUMIFS(Incentives!$H:$H,Incentives!$B:$B,$A190,Incentives!$N:$N,$B$2)+SUMIFS(Incentives!$H:$H,Incentives!$B:$B,$A190,Incentives!$N:$N,$C$2))</f>
        <v/>
      </c>
      <c r="I190">
        <f>IF($A190="","",COUNTIFS(Schedule!$G:$G,$A190,Schedule!$U:$U,$B$2,Schedule!$P:$P,"&gt;0")+COUNTIFS('TL Schedule'!$C:$C,$A190,'TL Schedule'!$K:$K,$B$2,'TL Schedule'!$J:$J,"&gt;0")+COUNTIFS(Schedule!$G:$G,$A190,Schedule!$U:$U,$C$2,Schedule!$P:$P,"&gt;0")+COUNTIFS('TL Schedule'!$C:$C,$A190,'TL Schedule'!$K:$K,$C$2,'TL Schedule'!$J:$J,"&gt;0"))</f>
        <v/>
      </c>
      <c r="J190">
        <f>IF($A190="","",IFERROR(TEXTJOIN(", ",TRUE,UNIQUE(FILTER(Schedule!$D$2:$D50000,Schedule!$G$2:$G50000=$A190,Schedule!$P$2:$P50000&gt;0,((Schedule!$U$2:$U50000=$B$2)+(Schedule!$U$2:$U50000=$C$2))))),""))</f>
        <v/>
      </c>
    </row>
    <row r="191">
      <c r="B191">
        <f>IF($A191="","",SUMIFS(Schedule!$P:$P,Schedule!$G:$G,$A191,Schedule!$U:$U,$B$2)+SUMIFS('TL Schedule'!$J:$J,'TL Schedule'!$C:$C,$A191,'TL Schedule'!$K:$K,$B$2))</f>
        <v/>
      </c>
      <c r="C191">
        <f>IF($A191="","",SUMIFS(Schedule!$P:$P,Schedule!$G:$G,$A191,Schedule!$U:$U,$C$2)+SUMIFS('TL Schedule'!$J:$J,'TL Schedule'!$C:$C,$A191,'TL Schedule'!$K:$K,$C$2))</f>
        <v/>
      </c>
      <c r="D191">
        <f>IF($A191="","",B191+C191)</f>
        <v/>
      </c>
      <c r="E191">
        <f>IF($A191="","",SUMIFS(Overtime!$H:$H,Overtime!$B:$B,$A191,Overtime!$N:$N,$B$2)+SUMIFS(Overtime!$H:$H,Overtime!$B:$B,$A191,Overtime!$N:$N,$C$2))</f>
        <v/>
      </c>
      <c r="F191">
        <f>IF($A191="","",SUMIFS('Death Penalty'!$E:$E,'Death Penalty'!$B:$B,$A191,'Death Penalty'!$L:$L,$B$2)+SUMIFS('Death Penalty'!$E:$E,'Death Penalty'!$B:$B,$A191,'Death Penalty'!$L:$L,$C$2))</f>
        <v/>
      </c>
      <c r="G191">
        <f>IF($A191="","",D191+E191-F191)</f>
        <v/>
      </c>
      <c r="H191">
        <f>IF($A191="","",SUMIFS(Incentives!$H:$H,Incentives!$B:$B,$A191,Incentives!$N:$N,$B$2)+SUMIFS(Incentives!$H:$H,Incentives!$B:$B,$A191,Incentives!$N:$N,$C$2))</f>
        <v/>
      </c>
      <c r="I191">
        <f>IF($A191="","",COUNTIFS(Schedule!$G:$G,$A191,Schedule!$U:$U,$B$2,Schedule!$P:$P,"&gt;0")+COUNTIFS('TL Schedule'!$C:$C,$A191,'TL Schedule'!$K:$K,$B$2,'TL Schedule'!$J:$J,"&gt;0")+COUNTIFS(Schedule!$G:$G,$A191,Schedule!$U:$U,$C$2,Schedule!$P:$P,"&gt;0")+COUNTIFS('TL Schedule'!$C:$C,$A191,'TL Schedule'!$K:$K,$C$2,'TL Schedule'!$J:$J,"&gt;0"))</f>
        <v/>
      </c>
      <c r="J191">
        <f>IF($A191="","",IFERROR(TEXTJOIN(", ",TRUE,UNIQUE(FILTER(Schedule!$D$2:$D50000,Schedule!$G$2:$G50000=$A191,Schedule!$P$2:$P50000&gt;0,((Schedule!$U$2:$U50000=$B$2)+(Schedule!$U$2:$U50000=$C$2))))),""))</f>
        <v/>
      </c>
    </row>
    <row r="192">
      <c r="B192">
        <f>IF($A192="","",SUMIFS(Schedule!$P:$P,Schedule!$G:$G,$A192,Schedule!$U:$U,$B$2)+SUMIFS('TL Schedule'!$J:$J,'TL Schedule'!$C:$C,$A192,'TL Schedule'!$K:$K,$B$2))</f>
        <v/>
      </c>
      <c r="C192">
        <f>IF($A192="","",SUMIFS(Schedule!$P:$P,Schedule!$G:$G,$A192,Schedule!$U:$U,$C$2)+SUMIFS('TL Schedule'!$J:$J,'TL Schedule'!$C:$C,$A192,'TL Schedule'!$K:$K,$C$2))</f>
        <v/>
      </c>
      <c r="D192">
        <f>IF($A192="","",B192+C192)</f>
        <v/>
      </c>
      <c r="E192">
        <f>IF($A192="","",SUMIFS(Overtime!$H:$H,Overtime!$B:$B,$A192,Overtime!$N:$N,$B$2)+SUMIFS(Overtime!$H:$H,Overtime!$B:$B,$A192,Overtime!$N:$N,$C$2))</f>
        <v/>
      </c>
      <c r="F192">
        <f>IF($A192="","",SUMIFS('Death Penalty'!$E:$E,'Death Penalty'!$B:$B,$A192,'Death Penalty'!$L:$L,$B$2)+SUMIFS('Death Penalty'!$E:$E,'Death Penalty'!$B:$B,$A192,'Death Penalty'!$L:$L,$C$2))</f>
        <v/>
      </c>
      <c r="G192">
        <f>IF($A192="","",D192+E192-F192)</f>
        <v/>
      </c>
      <c r="H192">
        <f>IF($A192="","",SUMIFS(Incentives!$H:$H,Incentives!$B:$B,$A192,Incentives!$N:$N,$B$2)+SUMIFS(Incentives!$H:$H,Incentives!$B:$B,$A192,Incentives!$N:$N,$C$2))</f>
        <v/>
      </c>
      <c r="I192">
        <f>IF($A192="","",COUNTIFS(Schedule!$G:$G,$A192,Schedule!$U:$U,$B$2,Schedule!$P:$P,"&gt;0")+COUNTIFS('TL Schedule'!$C:$C,$A192,'TL Schedule'!$K:$K,$B$2,'TL Schedule'!$J:$J,"&gt;0")+COUNTIFS(Schedule!$G:$G,$A192,Schedule!$U:$U,$C$2,Schedule!$P:$P,"&gt;0")+COUNTIFS('TL Schedule'!$C:$C,$A192,'TL Schedule'!$K:$K,$C$2,'TL Schedule'!$J:$J,"&gt;0"))</f>
        <v/>
      </c>
      <c r="J192">
        <f>IF($A192="","",IFERROR(TEXTJOIN(", ",TRUE,UNIQUE(FILTER(Schedule!$D$2:$D50000,Schedule!$G$2:$G50000=$A192,Schedule!$P$2:$P50000&gt;0,((Schedule!$U$2:$U50000=$B$2)+(Schedule!$U$2:$U50000=$C$2))))),""))</f>
        <v/>
      </c>
    </row>
    <row r="193">
      <c r="B193">
        <f>IF($A193="","",SUMIFS(Schedule!$P:$P,Schedule!$G:$G,$A193,Schedule!$U:$U,$B$2)+SUMIFS('TL Schedule'!$J:$J,'TL Schedule'!$C:$C,$A193,'TL Schedule'!$K:$K,$B$2))</f>
        <v/>
      </c>
      <c r="C193">
        <f>IF($A193="","",SUMIFS(Schedule!$P:$P,Schedule!$G:$G,$A193,Schedule!$U:$U,$C$2)+SUMIFS('TL Schedule'!$J:$J,'TL Schedule'!$C:$C,$A193,'TL Schedule'!$K:$K,$C$2))</f>
        <v/>
      </c>
      <c r="D193">
        <f>IF($A193="","",B193+C193)</f>
        <v/>
      </c>
      <c r="E193">
        <f>IF($A193="","",SUMIFS(Overtime!$H:$H,Overtime!$B:$B,$A193,Overtime!$N:$N,$B$2)+SUMIFS(Overtime!$H:$H,Overtime!$B:$B,$A193,Overtime!$N:$N,$C$2))</f>
        <v/>
      </c>
      <c r="F193">
        <f>IF($A193="","",SUMIFS('Death Penalty'!$E:$E,'Death Penalty'!$B:$B,$A193,'Death Penalty'!$L:$L,$B$2)+SUMIFS('Death Penalty'!$E:$E,'Death Penalty'!$B:$B,$A193,'Death Penalty'!$L:$L,$C$2))</f>
        <v/>
      </c>
      <c r="G193">
        <f>IF($A193="","",D193+E193-F193)</f>
        <v/>
      </c>
      <c r="H193">
        <f>IF($A193="","",SUMIFS(Incentives!$H:$H,Incentives!$B:$B,$A193,Incentives!$N:$N,$B$2)+SUMIFS(Incentives!$H:$H,Incentives!$B:$B,$A193,Incentives!$N:$N,$C$2))</f>
        <v/>
      </c>
      <c r="I193">
        <f>IF($A193="","",COUNTIFS(Schedule!$G:$G,$A193,Schedule!$U:$U,$B$2,Schedule!$P:$P,"&gt;0")+COUNTIFS('TL Schedule'!$C:$C,$A193,'TL Schedule'!$K:$K,$B$2,'TL Schedule'!$J:$J,"&gt;0")+COUNTIFS(Schedule!$G:$G,$A193,Schedule!$U:$U,$C$2,Schedule!$P:$P,"&gt;0")+COUNTIFS('TL Schedule'!$C:$C,$A193,'TL Schedule'!$K:$K,$C$2,'TL Schedule'!$J:$J,"&gt;0"))</f>
        <v/>
      </c>
      <c r="J193">
        <f>IF($A193="","",IFERROR(TEXTJOIN(", ",TRUE,UNIQUE(FILTER(Schedule!$D$2:$D50000,Schedule!$G$2:$G50000=$A193,Schedule!$P$2:$P50000&gt;0,((Schedule!$U$2:$U50000=$B$2)+(Schedule!$U$2:$U50000=$C$2))))),""))</f>
        <v/>
      </c>
    </row>
    <row r="194">
      <c r="B194">
        <f>IF($A194="","",SUMIFS(Schedule!$P:$P,Schedule!$G:$G,$A194,Schedule!$U:$U,$B$2)+SUMIFS('TL Schedule'!$J:$J,'TL Schedule'!$C:$C,$A194,'TL Schedule'!$K:$K,$B$2))</f>
        <v/>
      </c>
      <c r="C194">
        <f>IF($A194="","",SUMIFS(Schedule!$P:$P,Schedule!$G:$G,$A194,Schedule!$U:$U,$C$2)+SUMIFS('TL Schedule'!$J:$J,'TL Schedule'!$C:$C,$A194,'TL Schedule'!$K:$K,$C$2))</f>
        <v/>
      </c>
      <c r="D194">
        <f>IF($A194="","",B194+C194)</f>
        <v/>
      </c>
      <c r="E194">
        <f>IF($A194="","",SUMIFS(Overtime!$H:$H,Overtime!$B:$B,$A194,Overtime!$N:$N,$B$2)+SUMIFS(Overtime!$H:$H,Overtime!$B:$B,$A194,Overtime!$N:$N,$C$2))</f>
        <v/>
      </c>
      <c r="F194">
        <f>IF($A194="","",SUMIFS('Death Penalty'!$E:$E,'Death Penalty'!$B:$B,$A194,'Death Penalty'!$L:$L,$B$2)+SUMIFS('Death Penalty'!$E:$E,'Death Penalty'!$B:$B,$A194,'Death Penalty'!$L:$L,$C$2))</f>
        <v/>
      </c>
      <c r="G194">
        <f>IF($A194="","",D194+E194-F194)</f>
        <v/>
      </c>
      <c r="H194">
        <f>IF($A194="","",SUMIFS(Incentives!$H:$H,Incentives!$B:$B,$A194,Incentives!$N:$N,$B$2)+SUMIFS(Incentives!$H:$H,Incentives!$B:$B,$A194,Incentives!$N:$N,$C$2))</f>
        <v/>
      </c>
      <c r="I194">
        <f>IF($A194="","",COUNTIFS(Schedule!$G:$G,$A194,Schedule!$U:$U,$B$2,Schedule!$P:$P,"&gt;0")+COUNTIFS('TL Schedule'!$C:$C,$A194,'TL Schedule'!$K:$K,$B$2,'TL Schedule'!$J:$J,"&gt;0")+COUNTIFS(Schedule!$G:$G,$A194,Schedule!$U:$U,$C$2,Schedule!$P:$P,"&gt;0")+COUNTIFS('TL Schedule'!$C:$C,$A194,'TL Schedule'!$K:$K,$C$2,'TL Schedule'!$J:$J,"&gt;0"))</f>
        <v/>
      </c>
      <c r="J194">
        <f>IF($A194="","",IFERROR(TEXTJOIN(", ",TRUE,UNIQUE(FILTER(Schedule!$D$2:$D50000,Schedule!$G$2:$G50000=$A194,Schedule!$P$2:$P50000&gt;0,((Schedule!$U$2:$U50000=$B$2)+(Schedule!$U$2:$U50000=$C$2))))),""))</f>
        <v/>
      </c>
    </row>
    <row r="195">
      <c r="B195">
        <f>IF($A195="","",SUMIFS(Schedule!$P:$P,Schedule!$G:$G,$A195,Schedule!$U:$U,$B$2)+SUMIFS('TL Schedule'!$J:$J,'TL Schedule'!$C:$C,$A195,'TL Schedule'!$K:$K,$B$2))</f>
        <v/>
      </c>
      <c r="C195">
        <f>IF($A195="","",SUMIFS(Schedule!$P:$P,Schedule!$G:$G,$A195,Schedule!$U:$U,$C$2)+SUMIFS('TL Schedule'!$J:$J,'TL Schedule'!$C:$C,$A195,'TL Schedule'!$K:$K,$C$2))</f>
        <v/>
      </c>
      <c r="D195">
        <f>IF($A195="","",B195+C195)</f>
        <v/>
      </c>
      <c r="E195">
        <f>IF($A195="","",SUMIFS(Overtime!$H:$H,Overtime!$B:$B,$A195,Overtime!$N:$N,$B$2)+SUMIFS(Overtime!$H:$H,Overtime!$B:$B,$A195,Overtime!$N:$N,$C$2))</f>
        <v/>
      </c>
      <c r="F195">
        <f>IF($A195="","",SUMIFS('Death Penalty'!$E:$E,'Death Penalty'!$B:$B,$A195,'Death Penalty'!$L:$L,$B$2)+SUMIFS('Death Penalty'!$E:$E,'Death Penalty'!$B:$B,$A195,'Death Penalty'!$L:$L,$C$2))</f>
        <v/>
      </c>
      <c r="G195">
        <f>IF($A195="","",D195+E195-F195)</f>
        <v/>
      </c>
      <c r="H195">
        <f>IF($A195="","",SUMIFS(Incentives!$H:$H,Incentives!$B:$B,$A195,Incentives!$N:$N,$B$2)+SUMIFS(Incentives!$H:$H,Incentives!$B:$B,$A195,Incentives!$N:$N,$C$2))</f>
        <v/>
      </c>
      <c r="I195">
        <f>IF($A195="","",COUNTIFS(Schedule!$G:$G,$A195,Schedule!$U:$U,$B$2,Schedule!$P:$P,"&gt;0")+COUNTIFS('TL Schedule'!$C:$C,$A195,'TL Schedule'!$K:$K,$B$2,'TL Schedule'!$J:$J,"&gt;0")+COUNTIFS(Schedule!$G:$G,$A195,Schedule!$U:$U,$C$2,Schedule!$P:$P,"&gt;0")+COUNTIFS('TL Schedule'!$C:$C,$A195,'TL Schedule'!$K:$K,$C$2,'TL Schedule'!$J:$J,"&gt;0"))</f>
        <v/>
      </c>
      <c r="J195">
        <f>IF($A195="","",IFERROR(TEXTJOIN(", ",TRUE,UNIQUE(FILTER(Schedule!$D$2:$D50000,Schedule!$G$2:$G50000=$A195,Schedule!$P$2:$P50000&gt;0,((Schedule!$U$2:$U50000=$B$2)+(Schedule!$U$2:$U50000=$C$2))))),""))</f>
        <v/>
      </c>
    </row>
    <row r="196">
      <c r="B196">
        <f>IF($A196="","",SUMIFS(Schedule!$P:$P,Schedule!$G:$G,$A196,Schedule!$U:$U,$B$2)+SUMIFS('TL Schedule'!$J:$J,'TL Schedule'!$C:$C,$A196,'TL Schedule'!$K:$K,$B$2))</f>
        <v/>
      </c>
      <c r="C196">
        <f>IF($A196="","",SUMIFS(Schedule!$P:$P,Schedule!$G:$G,$A196,Schedule!$U:$U,$C$2)+SUMIFS('TL Schedule'!$J:$J,'TL Schedule'!$C:$C,$A196,'TL Schedule'!$K:$K,$C$2))</f>
        <v/>
      </c>
      <c r="D196">
        <f>IF($A196="","",B196+C196)</f>
        <v/>
      </c>
      <c r="E196">
        <f>IF($A196="","",SUMIFS(Overtime!$H:$H,Overtime!$B:$B,$A196,Overtime!$N:$N,$B$2)+SUMIFS(Overtime!$H:$H,Overtime!$B:$B,$A196,Overtime!$N:$N,$C$2))</f>
        <v/>
      </c>
      <c r="F196">
        <f>IF($A196="","",SUMIFS('Death Penalty'!$E:$E,'Death Penalty'!$B:$B,$A196,'Death Penalty'!$L:$L,$B$2)+SUMIFS('Death Penalty'!$E:$E,'Death Penalty'!$B:$B,$A196,'Death Penalty'!$L:$L,$C$2))</f>
        <v/>
      </c>
      <c r="G196">
        <f>IF($A196="","",D196+E196-F196)</f>
        <v/>
      </c>
      <c r="H196">
        <f>IF($A196="","",SUMIFS(Incentives!$H:$H,Incentives!$B:$B,$A196,Incentives!$N:$N,$B$2)+SUMIFS(Incentives!$H:$H,Incentives!$B:$B,$A196,Incentives!$N:$N,$C$2))</f>
        <v/>
      </c>
      <c r="I196">
        <f>IF($A196="","",COUNTIFS(Schedule!$G:$G,$A196,Schedule!$U:$U,$B$2,Schedule!$P:$P,"&gt;0")+COUNTIFS('TL Schedule'!$C:$C,$A196,'TL Schedule'!$K:$K,$B$2,'TL Schedule'!$J:$J,"&gt;0")+COUNTIFS(Schedule!$G:$G,$A196,Schedule!$U:$U,$C$2,Schedule!$P:$P,"&gt;0")+COUNTIFS('TL Schedule'!$C:$C,$A196,'TL Schedule'!$K:$K,$C$2,'TL Schedule'!$J:$J,"&gt;0"))</f>
        <v/>
      </c>
      <c r="J196">
        <f>IF($A196="","",IFERROR(TEXTJOIN(", ",TRUE,UNIQUE(FILTER(Schedule!$D$2:$D50000,Schedule!$G$2:$G50000=$A196,Schedule!$P$2:$P50000&gt;0,((Schedule!$U$2:$U50000=$B$2)+(Schedule!$U$2:$U50000=$C$2))))),""))</f>
        <v/>
      </c>
    </row>
    <row r="197">
      <c r="B197">
        <f>IF($A197="","",SUMIFS(Schedule!$P:$P,Schedule!$G:$G,$A197,Schedule!$U:$U,$B$2)+SUMIFS('TL Schedule'!$J:$J,'TL Schedule'!$C:$C,$A197,'TL Schedule'!$K:$K,$B$2))</f>
        <v/>
      </c>
      <c r="C197">
        <f>IF($A197="","",SUMIFS(Schedule!$P:$P,Schedule!$G:$G,$A197,Schedule!$U:$U,$C$2)+SUMIFS('TL Schedule'!$J:$J,'TL Schedule'!$C:$C,$A197,'TL Schedule'!$K:$K,$C$2))</f>
        <v/>
      </c>
      <c r="D197">
        <f>IF($A197="","",B197+C197)</f>
        <v/>
      </c>
      <c r="E197">
        <f>IF($A197="","",SUMIFS(Overtime!$H:$H,Overtime!$B:$B,$A197,Overtime!$N:$N,$B$2)+SUMIFS(Overtime!$H:$H,Overtime!$B:$B,$A197,Overtime!$N:$N,$C$2))</f>
        <v/>
      </c>
      <c r="F197">
        <f>IF($A197="","",SUMIFS('Death Penalty'!$E:$E,'Death Penalty'!$B:$B,$A197,'Death Penalty'!$L:$L,$B$2)+SUMIFS('Death Penalty'!$E:$E,'Death Penalty'!$B:$B,$A197,'Death Penalty'!$L:$L,$C$2))</f>
        <v/>
      </c>
      <c r="G197">
        <f>IF($A197="","",D197+E197-F197)</f>
        <v/>
      </c>
      <c r="H197">
        <f>IF($A197="","",SUMIFS(Incentives!$H:$H,Incentives!$B:$B,$A197,Incentives!$N:$N,$B$2)+SUMIFS(Incentives!$H:$H,Incentives!$B:$B,$A197,Incentives!$N:$N,$C$2))</f>
        <v/>
      </c>
      <c r="I197">
        <f>IF($A197="","",COUNTIFS(Schedule!$G:$G,$A197,Schedule!$U:$U,$B$2,Schedule!$P:$P,"&gt;0")+COUNTIFS('TL Schedule'!$C:$C,$A197,'TL Schedule'!$K:$K,$B$2,'TL Schedule'!$J:$J,"&gt;0")+COUNTIFS(Schedule!$G:$G,$A197,Schedule!$U:$U,$C$2,Schedule!$P:$P,"&gt;0")+COUNTIFS('TL Schedule'!$C:$C,$A197,'TL Schedule'!$K:$K,$C$2,'TL Schedule'!$J:$J,"&gt;0"))</f>
        <v/>
      </c>
      <c r="J197">
        <f>IF($A197="","",IFERROR(TEXTJOIN(", ",TRUE,UNIQUE(FILTER(Schedule!$D$2:$D50000,Schedule!$G$2:$G50000=$A197,Schedule!$P$2:$P50000&gt;0,((Schedule!$U$2:$U50000=$B$2)+(Schedule!$U$2:$U50000=$C$2))))),""))</f>
        <v/>
      </c>
    </row>
    <row r="198">
      <c r="B198">
        <f>IF($A198="","",SUMIFS(Schedule!$P:$P,Schedule!$G:$G,$A198,Schedule!$U:$U,$B$2)+SUMIFS('TL Schedule'!$J:$J,'TL Schedule'!$C:$C,$A198,'TL Schedule'!$K:$K,$B$2))</f>
        <v/>
      </c>
      <c r="C198">
        <f>IF($A198="","",SUMIFS(Schedule!$P:$P,Schedule!$G:$G,$A198,Schedule!$U:$U,$C$2)+SUMIFS('TL Schedule'!$J:$J,'TL Schedule'!$C:$C,$A198,'TL Schedule'!$K:$K,$C$2))</f>
        <v/>
      </c>
      <c r="D198">
        <f>IF($A198="","",B198+C198)</f>
        <v/>
      </c>
      <c r="E198">
        <f>IF($A198="","",SUMIFS(Overtime!$H:$H,Overtime!$B:$B,$A198,Overtime!$N:$N,$B$2)+SUMIFS(Overtime!$H:$H,Overtime!$B:$B,$A198,Overtime!$N:$N,$C$2))</f>
        <v/>
      </c>
      <c r="F198">
        <f>IF($A198="","",SUMIFS('Death Penalty'!$E:$E,'Death Penalty'!$B:$B,$A198,'Death Penalty'!$L:$L,$B$2)+SUMIFS('Death Penalty'!$E:$E,'Death Penalty'!$B:$B,$A198,'Death Penalty'!$L:$L,$C$2))</f>
        <v/>
      </c>
      <c r="G198">
        <f>IF($A198="","",D198+E198-F198)</f>
        <v/>
      </c>
      <c r="H198">
        <f>IF($A198="","",SUMIFS(Incentives!$H:$H,Incentives!$B:$B,$A198,Incentives!$N:$N,$B$2)+SUMIFS(Incentives!$H:$H,Incentives!$B:$B,$A198,Incentives!$N:$N,$C$2))</f>
        <v/>
      </c>
      <c r="I198">
        <f>IF($A198="","",COUNTIFS(Schedule!$G:$G,$A198,Schedule!$U:$U,$B$2,Schedule!$P:$P,"&gt;0")+COUNTIFS('TL Schedule'!$C:$C,$A198,'TL Schedule'!$K:$K,$B$2,'TL Schedule'!$J:$J,"&gt;0")+COUNTIFS(Schedule!$G:$G,$A198,Schedule!$U:$U,$C$2,Schedule!$P:$P,"&gt;0")+COUNTIFS('TL Schedule'!$C:$C,$A198,'TL Schedule'!$K:$K,$C$2,'TL Schedule'!$J:$J,"&gt;0"))</f>
        <v/>
      </c>
      <c r="J198">
        <f>IF($A198="","",IFERROR(TEXTJOIN(", ",TRUE,UNIQUE(FILTER(Schedule!$D$2:$D50000,Schedule!$G$2:$G50000=$A198,Schedule!$P$2:$P50000&gt;0,((Schedule!$U$2:$U50000=$B$2)+(Schedule!$U$2:$U50000=$C$2))))),""))</f>
        <v/>
      </c>
    </row>
    <row r="199">
      <c r="B199">
        <f>IF($A199="","",SUMIFS(Schedule!$P:$P,Schedule!$G:$G,$A199,Schedule!$U:$U,$B$2)+SUMIFS('TL Schedule'!$J:$J,'TL Schedule'!$C:$C,$A199,'TL Schedule'!$K:$K,$B$2))</f>
        <v/>
      </c>
      <c r="C199">
        <f>IF($A199="","",SUMIFS(Schedule!$P:$P,Schedule!$G:$G,$A199,Schedule!$U:$U,$C$2)+SUMIFS('TL Schedule'!$J:$J,'TL Schedule'!$C:$C,$A199,'TL Schedule'!$K:$K,$C$2))</f>
        <v/>
      </c>
      <c r="D199">
        <f>IF($A199="","",B199+C199)</f>
        <v/>
      </c>
      <c r="E199">
        <f>IF($A199="","",SUMIFS(Overtime!$H:$H,Overtime!$B:$B,$A199,Overtime!$N:$N,$B$2)+SUMIFS(Overtime!$H:$H,Overtime!$B:$B,$A199,Overtime!$N:$N,$C$2))</f>
        <v/>
      </c>
      <c r="F199">
        <f>IF($A199="","",SUMIFS('Death Penalty'!$E:$E,'Death Penalty'!$B:$B,$A199,'Death Penalty'!$L:$L,$B$2)+SUMIFS('Death Penalty'!$E:$E,'Death Penalty'!$B:$B,$A199,'Death Penalty'!$L:$L,$C$2))</f>
        <v/>
      </c>
      <c r="G199">
        <f>IF($A199="","",D199+E199-F199)</f>
        <v/>
      </c>
      <c r="H199">
        <f>IF($A199="","",SUMIFS(Incentives!$H:$H,Incentives!$B:$B,$A199,Incentives!$N:$N,$B$2)+SUMIFS(Incentives!$H:$H,Incentives!$B:$B,$A199,Incentives!$N:$N,$C$2))</f>
        <v/>
      </c>
      <c r="I199">
        <f>IF($A199="","",COUNTIFS(Schedule!$G:$G,$A199,Schedule!$U:$U,$B$2,Schedule!$P:$P,"&gt;0")+COUNTIFS('TL Schedule'!$C:$C,$A199,'TL Schedule'!$K:$K,$B$2,'TL Schedule'!$J:$J,"&gt;0")+COUNTIFS(Schedule!$G:$G,$A199,Schedule!$U:$U,$C$2,Schedule!$P:$P,"&gt;0")+COUNTIFS('TL Schedule'!$C:$C,$A199,'TL Schedule'!$K:$K,$C$2,'TL Schedule'!$J:$J,"&gt;0"))</f>
        <v/>
      </c>
      <c r="J199">
        <f>IF($A199="","",IFERROR(TEXTJOIN(", ",TRUE,UNIQUE(FILTER(Schedule!$D$2:$D50000,Schedule!$G$2:$G50000=$A199,Schedule!$P$2:$P50000&gt;0,((Schedule!$U$2:$U50000=$B$2)+(Schedule!$U$2:$U50000=$C$2))))),""))</f>
        <v/>
      </c>
    </row>
    <row r="200">
      <c r="B200">
        <f>IF($A200="","",SUMIFS(Schedule!$P:$P,Schedule!$G:$G,$A200,Schedule!$U:$U,$B$2)+SUMIFS('TL Schedule'!$J:$J,'TL Schedule'!$C:$C,$A200,'TL Schedule'!$K:$K,$B$2))</f>
        <v/>
      </c>
      <c r="C200">
        <f>IF($A200="","",SUMIFS(Schedule!$P:$P,Schedule!$G:$G,$A200,Schedule!$U:$U,$C$2)+SUMIFS('TL Schedule'!$J:$J,'TL Schedule'!$C:$C,$A200,'TL Schedule'!$K:$K,$C$2))</f>
        <v/>
      </c>
      <c r="D200">
        <f>IF($A200="","",B200+C200)</f>
        <v/>
      </c>
      <c r="E200">
        <f>IF($A200="","",SUMIFS(Overtime!$H:$H,Overtime!$B:$B,$A200,Overtime!$N:$N,$B$2)+SUMIFS(Overtime!$H:$H,Overtime!$B:$B,$A200,Overtime!$N:$N,$C$2))</f>
        <v/>
      </c>
      <c r="F200">
        <f>IF($A200="","",SUMIFS('Death Penalty'!$E:$E,'Death Penalty'!$B:$B,$A200,'Death Penalty'!$L:$L,$B$2)+SUMIFS('Death Penalty'!$E:$E,'Death Penalty'!$B:$B,$A200,'Death Penalty'!$L:$L,$C$2))</f>
        <v/>
      </c>
      <c r="G200">
        <f>IF($A200="","",D200+E200-F200)</f>
        <v/>
      </c>
      <c r="H200">
        <f>IF($A200="","",SUMIFS(Incentives!$H:$H,Incentives!$B:$B,$A200,Incentives!$N:$N,$B$2)+SUMIFS(Incentives!$H:$H,Incentives!$B:$B,$A200,Incentives!$N:$N,$C$2))</f>
        <v/>
      </c>
      <c r="I200">
        <f>IF($A200="","",COUNTIFS(Schedule!$G:$G,$A200,Schedule!$U:$U,$B$2,Schedule!$P:$P,"&gt;0")+COUNTIFS('TL Schedule'!$C:$C,$A200,'TL Schedule'!$K:$K,$B$2,'TL Schedule'!$J:$J,"&gt;0")+COUNTIFS(Schedule!$G:$G,$A200,Schedule!$U:$U,$C$2,Schedule!$P:$P,"&gt;0")+COUNTIFS('TL Schedule'!$C:$C,$A200,'TL Schedule'!$K:$K,$C$2,'TL Schedule'!$J:$J,"&gt;0"))</f>
        <v/>
      </c>
      <c r="J200">
        <f>IF($A200="","",IFERROR(TEXTJOIN(", ",TRUE,UNIQUE(FILTER(Schedule!$D$2:$D50000,Schedule!$G$2:$G50000=$A200,Schedule!$P$2:$P50000&gt;0,((Schedule!$U$2:$U50000=$B$2)+(Schedule!$U$2:$U50000=$C$2))))),""))</f>
        <v/>
      </c>
    </row>
    <row r="201">
      <c r="B201">
        <f>IF($A201="","",SUMIFS(Schedule!$P:$P,Schedule!$G:$G,$A201,Schedule!$U:$U,$B$2)+SUMIFS('TL Schedule'!$J:$J,'TL Schedule'!$C:$C,$A201,'TL Schedule'!$K:$K,$B$2))</f>
        <v/>
      </c>
      <c r="C201">
        <f>IF($A201="","",SUMIFS(Schedule!$P:$P,Schedule!$G:$G,$A201,Schedule!$U:$U,$C$2)+SUMIFS('TL Schedule'!$J:$J,'TL Schedule'!$C:$C,$A201,'TL Schedule'!$K:$K,$C$2))</f>
        <v/>
      </c>
      <c r="D201">
        <f>IF($A201="","",B201+C201)</f>
        <v/>
      </c>
      <c r="E201">
        <f>IF($A201="","",SUMIFS(Overtime!$H:$H,Overtime!$B:$B,$A201,Overtime!$N:$N,$B$2)+SUMIFS(Overtime!$H:$H,Overtime!$B:$B,$A201,Overtime!$N:$N,$C$2))</f>
        <v/>
      </c>
      <c r="F201">
        <f>IF($A201="","",SUMIFS('Death Penalty'!$E:$E,'Death Penalty'!$B:$B,$A201,'Death Penalty'!$L:$L,$B$2)+SUMIFS('Death Penalty'!$E:$E,'Death Penalty'!$B:$B,$A201,'Death Penalty'!$L:$L,$C$2))</f>
        <v/>
      </c>
      <c r="G201">
        <f>IF($A201="","",D201+E201-F201)</f>
        <v/>
      </c>
      <c r="H201">
        <f>IF($A201="","",SUMIFS(Incentives!$H:$H,Incentives!$B:$B,$A201,Incentives!$N:$N,$B$2)+SUMIFS(Incentives!$H:$H,Incentives!$B:$B,$A201,Incentives!$N:$N,$C$2))</f>
        <v/>
      </c>
      <c r="I201">
        <f>IF($A201="","",COUNTIFS(Schedule!$G:$G,$A201,Schedule!$U:$U,$B$2,Schedule!$P:$P,"&gt;0")+COUNTIFS('TL Schedule'!$C:$C,$A201,'TL Schedule'!$K:$K,$B$2,'TL Schedule'!$J:$J,"&gt;0")+COUNTIFS(Schedule!$G:$G,$A201,Schedule!$U:$U,$C$2,Schedule!$P:$P,"&gt;0")+COUNTIFS('TL Schedule'!$C:$C,$A201,'TL Schedule'!$K:$K,$C$2,'TL Schedule'!$J:$J,"&gt;0"))</f>
        <v/>
      </c>
      <c r="J201">
        <f>IF($A201="","",IFERROR(TEXTJOIN(", ",TRUE,UNIQUE(FILTER(Schedule!$D$2:$D50000,Schedule!$G$2:$G50000=$A201,Schedule!$P$2:$P50000&gt;0,((Schedule!$U$2:$U50000=$B$2)+(Schedule!$U$2:$U50000=$C$2))))),""))</f>
        <v/>
      </c>
    </row>
    <row r="202">
      <c r="B202">
        <f>IF($A202="","",SUMIFS(Schedule!$P:$P,Schedule!$G:$G,$A202,Schedule!$U:$U,$B$2)+SUMIFS('TL Schedule'!$J:$J,'TL Schedule'!$C:$C,$A202,'TL Schedule'!$K:$K,$B$2))</f>
        <v/>
      </c>
      <c r="C202">
        <f>IF($A202="","",SUMIFS(Schedule!$P:$P,Schedule!$G:$G,$A202,Schedule!$U:$U,$C$2)+SUMIFS('TL Schedule'!$J:$J,'TL Schedule'!$C:$C,$A202,'TL Schedule'!$K:$K,$C$2))</f>
        <v/>
      </c>
      <c r="D202">
        <f>IF($A202="","",B202+C202)</f>
        <v/>
      </c>
      <c r="E202">
        <f>IF($A202="","",SUMIFS(Overtime!$H:$H,Overtime!$B:$B,$A202,Overtime!$N:$N,$B$2)+SUMIFS(Overtime!$H:$H,Overtime!$B:$B,$A202,Overtime!$N:$N,$C$2))</f>
        <v/>
      </c>
      <c r="F202">
        <f>IF($A202="","",SUMIFS('Death Penalty'!$E:$E,'Death Penalty'!$B:$B,$A202,'Death Penalty'!$L:$L,$B$2)+SUMIFS('Death Penalty'!$E:$E,'Death Penalty'!$B:$B,$A202,'Death Penalty'!$L:$L,$C$2))</f>
        <v/>
      </c>
      <c r="G202">
        <f>IF($A202="","",D202+E202-F202)</f>
        <v/>
      </c>
      <c r="H202">
        <f>IF($A202="","",SUMIFS(Incentives!$H:$H,Incentives!$B:$B,$A202,Incentives!$N:$N,$B$2)+SUMIFS(Incentives!$H:$H,Incentives!$B:$B,$A202,Incentives!$N:$N,$C$2))</f>
        <v/>
      </c>
      <c r="I202">
        <f>IF($A202="","",COUNTIFS(Schedule!$G:$G,$A202,Schedule!$U:$U,$B$2,Schedule!$P:$P,"&gt;0")+COUNTIFS('TL Schedule'!$C:$C,$A202,'TL Schedule'!$K:$K,$B$2,'TL Schedule'!$J:$J,"&gt;0")+COUNTIFS(Schedule!$G:$G,$A202,Schedule!$U:$U,$C$2,Schedule!$P:$P,"&gt;0")+COUNTIFS('TL Schedule'!$C:$C,$A202,'TL Schedule'!$K:$K,$C$2,'TL Schedule'!$J:$J,"&gt;0"))</f>
        <v/>
      </c>
      <c r="J202">
        <f>IF($A202="","",IFERROR(TEXTJOIN(", ",TRUE,UNIQUE(FILTER(Schedule!$D$2:$D50000,Schedule!$G$2:$G50000=$A202,Schedule!$P$2:$P50000&gt;0,((Schedule!$U$2:$U50000=$B$2)+(Schedule!$U$2:$U50000=$C$2))))),""))</f>
        <v/>
      </c>
    </row>
    <row r="203">
      <c r="B203">
        <f>IF($A203="","",SUMIFS(Schedule!$P:$P,Schedule!$G:$G,$A203,Schedule!$U:$U,$B$2)+SUMIFS('TL Schedule'!$J:$J,'TL Schedule'!$C:$C,$A203,'TL Schedule'!$K:$K,$B$2))</f>
        <v/>
      </c>
      <c r="C203">
        <f>IF($A203="","",SUMIFS(Schedule!$P:$P,Schedule!$G:$G,$A203,Schedule!$U:$U,$C$2)+SUMIFS('TL Schedule'!$J:$J,'TL Schedule'!$C:$C,$A203,'TL Schedule'!$K:$K,$C$2))</f>
        <v/>
      </c>
      <c r="D203">
        <f>IF($A203="","",B203+C203)</f>
        <v/>
      </c>
      <c r="E203">
        <f>IF($A203="","",SUMIFS(Overtime!$H:$H,Overtime!$B:$B,$A203,Overtime!$N:$N,$B$2)+SUMIFS(Overtime!$H:$H,Overtime!$B:$B,$A203,Overtime!$N:$N,$C$2))</f>
        <v/>
      </c>
      <c r="F203">
        <f>IF($A203="","",SUMIFS('Death Penalty'!$E:$E,'Death Penalty'!$B:$B,$A203,'Death Penalty'!$L:$L,$B$2)+SUMIFS('Death Penalty'!$E:$E,'Death Penalty'!$B:$B,$A203,'Death Penalty'!$L:$L,$C$2))</f>
        <v/>
      </c>
      <c r="G203">
        <f>IF($A203="","",D203+E203-F203)</f>
        <v/>
      </c>
      <c r="H203">
        <f>IF($A203="","",SUMIFS(Incentives!$H:$H,Incentives!$B:$B,$A203,Incentives!$N:$N,$B$2)+SUMIFS(Incentives!$H:$H,Incentives!$B:$B,$A203,Incentives!$N:$N,$C$2))</f>
        <v/>
      </c>
      <c r="I203">
        <f>IF($A203="","",COUNTIFS(Schedule!$G:$G,$A203,Schedule!$U:$U,$B$2,Schedule!$P:$P,"&gt;0")+COUNTIFS('TL Schedule'!$C:$C,$A203,'TL Schedule'!$K:$K,$B$2,'TL Schedule'!$J:$J,"&gt;0")+COUNTIFS(Schedule!$G:$G,$A203,Schedule!$U:$U,$C$2,Schedule!$P:$P,"&gt;0")+COUNTIFS('TL Schedule'!$C:$C,$A203,'TL Schedule'!$K:$K,$C$2,'TL Schedule'!$J:$J,"&gt;0"))</f>
        <v/>
      </c>
      <c r="J203">
        <f>IF($A203="","",IFERROR(TEXTJOIN(", ",TRUE,UNIQUE(FILTER(Schedule!$D$2:$D50000,Schedule!$G$2:$G50000=$A203,Schedule!$P$2:$P50000&gt;0,((Schedule!$U$2:$U50000=$B$2)+(Schedule!$U$2:$U50000=$C$2))))),""))</f>
        <v/>
      </c>
    </row>
    <row r="204">
      <c r="B204">
        <f>IF($A204="","",SUMIFS(Schedule!$P:$P,Schedule!$G:$G,$A204,Schedule!$U:$U,$B$2)+SUMIFS('TL Schedule'!$J:$J,'TL Schedule'!$C:$C,$A204,'TL Schedule'!$K:$K,$B$2))</f>
        <v/>
      </c>
      <c r="C204">
        <f>IF($A204="","",SUMIFS(Schedule!$P:$P,Schedule!$G:$G,$A204,Schedule!$U:$U,$C$2)+SUMIFS('TL Schedule'!$J:$J,'TL Schedule'!$C:$C,$A204,'TL Schedule'!$K:$K,$C$2))</f>
        <v/>
      </c>
      <c r="D204">
        <f>IF($A204="","",B204+C204)</f>
        <v/>
      </c>
      <c r="E204">
        <f>IF($A204="","",SUMIFS(Overtime!$H:$H,Overtime!$B:$B,$A204,Overtime!$N:$N,$B$2)+SUMIFS(Overtime!$H:$H,Overtime!$B:$B,$A204,Overtime!$N:$N,$C$2))</f>
        <v/>
      </c>
      <c r="F204">
        <f>IF($A204="","",SUMIFS('Death Penalty'!$E:$E,'Death Penalty'!$B:$B,$A204,'Death Penalty'!$L:$L,$B$2)+SUMIFS('Death Penalty'!$E:$E,'Death Penalty'!$B:$B,$A204,'Death Penalty'!$L:$L,$C$2))</f>
        <v/>
      </c>
      <c r="G204">
        <f>IF($A204="","",D204+E204-F204)</f>
        <v/>
      </c>
      <c r="H204">
        <f>IF($A204="","",SUMIFS(Incentives!$H:$H,Incentives!$B:$B,$A204,Incentives!$N:$N,$B$2)+SUMIFS(Incentives!$H:$H,Incentives!$B:$B,$A204,Incentives!$N:$N,$C$2))</f>
        <v/>
      </c>
      <c r="I204">
        <f>IF($A204="","",COUNTIFS(Schedule!$G:$G,$A204,Schedule!$U:$U,$B$2,Schedule!$P:$P,"&gt;0")+COUNTIFS('TL Schedule'!$C:$C,$A204,'TL Schedule'!$K:$K,$B$2,'TL Schedule'!$J:$J,"&gt;0")+COUNTIFS(Schedule!$G:$G,$A204,Schedule!$U:$U,$C$2,Schedule!$P:$P,"&gt;0")+COUNTIFS('TL Schedule'!$C:$C,$A204,'TL Schedule'!$K:$K,$C$2,'TL Schedule'!$J:$J,"&gt;0"))</f>
        <v/>
      </c>
      <c r="J204">
        <f>IF($A204="","",IFERROR(TEXTJOIN(", ",TRUE,UNIQUE(FILTER(Schedule!$D$2:$D50000,Schedule!$G$2:$G50000=$A204,Schedule!$P$2:$P50000&gt;0,((Schedule!$U$2:$U50000=$B$2)+(Schedule!$U$2:$U50000=$C$2))))),""))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1" customWidth="1" min="3" max="3"/>
    <col width="8" customWidth="1" min="4" max="4"/>
    <col width="90" customWidth="1" min="5" max="5"/>
  </cols>
  <sheetData>
    <row r="1">
      <c r="A1" s="4" t="inlineStr">
        <is>
          <t>Week</t>
        </is>
      </c>
      <c r="B1" s="4" t="inlineStr">
        <is>
          <t>Player</t>
        </is>
      </c>
      <c r="C1" s="4" t="inlineStr">
        <is>
          <t>Total Hours</t>
        </is>
      </c>
      <c r="D1" s="4" t="inlineStr">
        <is>
          <t>Shifts</t>
        </is>
      </c>
      <c r="E1" s="4" t="inlineStr">
        <is>
          <t>Characters</t>
        </is>
      </c>
    </row>
    <row r="2">
      <c r="A2" t="inlineStr">
        <is>
          <t>W33</t>
        </is>
      </c>
      <c r="B2" t="inlineStr">
        <is>
          <t>Richard Salupari</t>
        </is>
      </c>
      <c r="C2" t="n">
        <v>83</v>
      </c>
      <c r="D2" t="n">
        <v>7</v>
      </c>
      <c r="E2" t="inlineStr">
        <is>
          <t>Jjuni-Knight (7)</t>
        </is>
      </c>
    </row>
    <row r="3">
      <c r="A3" t="inlineStr">
        <is>
          <t>W33</t>
        </is>
      </c>
      <c r="B3" t="inlineStr">
        <is>
          <t>Mark Anthony</t>
        </is>
      </c>
      <c r="C3" t="n">
        <v>79</v>
      </c>
      <c r="D3" t="n">
        <v>7</v>
      </c>
      <c r="E3" t="inlineStr">
        <is>
          <t>Doma-Knight (7)</t>
        </is>
      </c>
    </row>
    <row r="4">
      <c r="A4" t="inlineStr">
        <is>
          <t>W33</t>
        </is>
      </c>
      <c r="B4" t="inlineStr">
        <is>
          <t>Raymond</t>
        </is>
      </c>
      <c r="C4" t="n">
        <v>65</v>
      </c>
      <c r="D4" t="n">
        <v>11</v>
      </c>
      <c r="E4" t="inlineStr">
        <is>
          <t>Elf-Elf (5), Kyoryu(Elf) (4), Jjuni-Knight (1), Mukkbo-Knight (1)</t>
        </is>
      </c>
    </row>
    <row r="5">
      <c r="A5" t="inlineStr">
        <is>
          <t>W33</t>
        </is>
      </c>
      <c r="B5" t="inlineStr">
        <is>
          <t>JM Racca</t>
        </is>
      </c>
      <c r="C5" t="n">
        <v>61</v>
      </c>
      <c r="D5" t="n">
        <v>6</v>
      </c>
      <c r="E5" t="inlineStr">
        <is>
          <t>Olleh-knight (5), Lammy Queen - Elf (1)</t>
        </is>
      </c>
    </row>
    <row r="6">
      <c r="A6" t="inlineStr">
        <is>
          <t>W33</t>
        </is>
      </c>
      <c r="B6" t="inlineStr">
        <is>
          <t>Rhuzsel</t>
        </is>
      </c>
      <c r="C6" t="n">
        <v>60</v>
      </c>
      <c r="D6" t="n">
        <v>7</v>
      </c>
      <c r="E6" t="inlineStr">
        <is>
          <t>Lammy Queen - Elf (4), Olleh-knight (2), Real Madrid-Knight (1)</t>
        </is>
      </c>
    </row>
    <row r="7">
      <c r="A7" t="inlineStr">
        <is>
          <t>W33</t>
        </is>
      </c>
      <c r="B7" t="inlineStr">
        <is>
          <t>Isiah</t>
        </is>
      </c>
      <c r="C7" t="n">
        <v>59</v>
      </c>
      <c r="D7" t="n">
        <v>6</v>
      </c>
      <c r="E7" t="inlineStr">
        <is>
          <t>Power20-Knight (6)</t>
        </is>
      </c>
    </row>
    <row r="8">
      <c r="A8" t="inlineStr">
        <is>
          <t>W33</t>
        </is>
      </c>
      <c r="B8" t="inlineStr">
        <is>
          <t>Raul</t>
        </is>
      </c>
      <c r="C8" t="n">
        <v>56</v>
      </c>
      <c r="D8" t="n">
        <v>6</v>
      </c>
      <c r="E8" t="inlineStr">
        <is>
          <t>Dalo-Knight (6)</t>
        </is>
      </c>
    </row>
    <row r="9">
      <c r="A9" t="inlineStr">
        <is>
          <t>W33</t>
        </is>
      </c>
      <c r="B9" t="inlineStr">
        <is>
          <t>Mitchell</t>
        </is>
      </c>
      <c r="C9" t="n">
        <v>56</v>
      </c>
      <c r="D9" t="n">
        <v>7</v>
      </c>
      <c r="E9" t="inlineStr">
        <is>
          <t>Lolly Elf (7)</t>
        </is>
      </c>
    </row>
    <row r="10">
      <c r="A10" t="inlineStr">
        <is>
          <t>W33</t>
        </is>
      </c>
      <c r="B10" t="inlineStr">
        <is>
          <t>Reno</t>
        </is>
      </c>
      <c r="C10" t="n">
        <v>55</v>
      </c>
      <c r="D10" t="n">
        <v>7</v>
      </c>
      <c r="E10" t="inlineStr">
        <is>
          <t>Pele(Chaerin) (2), Ronaldo (1), Sarim (1), Alex-Knight (1), Catleya (1), Duga - Knight (1)</t>
        </is>
      </c>
    </row>
    <row r="11">
      <c r="A11" t="inlineStr">
        <is>
          <t>W33</t>
        </is>
      </c>
      <c r="B11" t="inlineStr">
        <is>
          <t>Samantha</t>
        </is>
      </c>
      <c r="C11" t="n">
        <v>54</v>
      </c>
      <c r="D11" t="n">
        <v>7</v>
      </c>
      <c r="E11" t="inlineStr">
        <is>
          <t>Perez-Spatoy (7)</t>
        </is>
      </c>
    </row>
    <row r="12">
      <c r="A12" t="inlineStr">
        <is>
          <t>W33</t>
        </is>
      </c>
      <c r="B12" t="inlineStr">
        <is>
          <t>Monteza</t>
        </is>
      </c>
      <c r="C12" t="n">
        <v>53</v>
      </c>
      <c r="D12" t="n">
        <v>7</v>
      </c>
      <c r="E12" t="inlineStr">
        <is>
          <t>Heon-Knight (4), Power20-Knight (2), Doma-Knight (1)</t>
        </is>
      </c>
    </row>
    <row r="13">
      <c r="A13" t="inlineStr">
        <is>
          <t>W33</t>
        </is>
      </c>
      <c r="B13" t="inlineStr">
        <is>
          <t>Jeffrey</t>
        </is>
      </c>
      <c r="C13" t="n">
        <v>53</v>
      </c>
      <c r="D13" t="n">
        <v>7</v>
      </c>
      <c r="E13" t="inlineStr">
        <is>
          <t>Jangbi-Knight (7)</t>
        </is>
      </c>
    </row>
    <row r="14">
      <c r="A14" t="inlineStr">
        <is>
          <t>W33</t>
        </is>
      </c>
      <c r="B14" t="inlineStr">
        <is>
          <t>Kim Carl</t>
        </is>
      </c>
      <c r="C14" t="n">
        <v>53</v>
      </c>
      <c r="D14" t="n">
        <v>6</v>
      </c>
      <c r="E14" t="inlineStr">
        <is>
          <t>Sea-Knight (6)</t>
        </is>
      </c>
    </row>
    <row r="15">
      <c r="A15" t="inlineStr">
        <is>
          <t>W33</t>
        </is>
      </c>
      <c r="B15" t="inlineStr">
        <is>
          <t>Zenron</t>
        </is>
      </c>
      <c r="C15" t="n">
        <v>50</v>
      </c>
      <c r="D15" t="n">
        <v>7</v>
      </c>
      <c r="E15" t="inlineStr">
        <is>
          <t>Perez-Spatoy (7)</t>
        </is>
      </c>
    </row>
    <row r="16">
      <c r="A16" t="inlineStr">
        <is>
          <t>W33</t>
        </is>
      </c>
      <c r="B16" t="inlineStr">
        <is>
          <t>Joseph Racca</t>
        </is>
      </c>
      <c r="C16" t="n">
        <v>48</v>
      </c>
      <c r="D16" t="n">
        <v>5</v>
      </c>
      <c r="E16" t="inlineStr">
        <is>
          <t>League-Knight (2), Tiger-Knight (2), Town-Knight (1)</t>
        </is>
      </c>
    </row>
    <row r="17">
      <c r="A17" t="inlineStr">
        <is>
          <t>W33</t>
        </is>
      </c>
      <c r="B17" t="inlineStr">
        <is>
          <t>Danica Bautista</t>
        </is>
      </c>
      <c r="C17" t="n">
        <v>48</v>
      </c>
      <c r="D17" t="n">
        <v>6</v>
      </c>
      <c r="E17" t="inlineStr">
        <is>
          <t>Jejo-Knight (6)</t>
        </is>
      </c>
    </row>
    <row r="18">
      <c r="A18" t="inlineStr">
        <is>
          <t>W33</t>
        </is>
      </c>
      <c r="B18" t="inlineStr">
        <is>
          <t>Cath Valdez</t>
        </is>
      </c>
      <c r="C18" t="n">
        <v>48</v>
      </c>
      <c r="D18" t="n">
        <v>6</v>
      </c>
      <c r="E18" t="inlineStr">
        <is>
          <t>Ji-Hyun-Elf (6)</t>
        </is>
      </c>
    </row>
    <row r="19">
      <c r="A19" t="inlineStr">
        <is>
          <t>W33</t>
        </is>
      </c>
      <c r="B19" t="inlineStr">
        <is>
          <t>Mark Valdez</t>
        </is>
      </c>
      <c r="C19" t="n">
        <v>48</v>
      </c>
      <c r="D19" t="n">
        <v>6</v>
      </c>
      <c r="E19" t="inlineStr">
        <is>
          <t>Real Madrid-Knight (6)</t>
        </is>
      </c>
    </row>
    <row r="20">
      <c r="A20" t="inlineStr">
        <is>
          <t>W33</t>
        </is>
      </c>
      <c r="B20" t="inlineStr">
        <is>
          <t>Lemark</t>
        </is>
      </c>
      <c r="C20" t="n">
        <v>47</v>
      </c>
      <c r="D20" t="n">
        <v>6</v>
      </c>
      <c r="E20" t="inlineStr">
        <is>
          <t>Taejo (3), Ronaldo (1), Marcelo (1), Real Madrid-Knight (1)</t>
        </is>
      </c>
    </row>
    <row r="21">
      <c r="A21" t="inlineStr">
        <is>
          <t>W33</t>
        </is>
      </c>
      <c r="B21" t="inlineStr">
        <is>
          <t>Lourence</t>
        </is>
      </c>
      <c r="C21" t="n">
        <v>47</v>
      </c>
      <c r="D21" t="n">
        <v>6</v>
      </c>
      <c r="E21" t="inlineStr">
        <is>
          <t>Bang-Wizzard (6)</t>
        </is>
      </c>
    </row>
    <row r="22">
      <c r="A22" t="inlineStr">
        <is>
          <t>W33</t>
        </is>
      </c>
      <c r="B22" t="inlineStr">
        <is>
          <t>Patrick</t>
        </is>
      </c>
      <c r="C22" t="n">
        <v>46.5</v>
      </c>
      <c r="D22" t="n">
        <v>6</v>
      </c>
      <c r="E22" t="inlineStr">
        <is>
          <t>Catleya (3), Duga - Knight (2), Kyoryu(Elf) (1)</t>
        </is>
      </c>
    </row>
    <row r="23">
      <c r="A23" t="inlineStr">
        <is>
          <t>W33</t>
        </is>
      </c>
      <c r="B23" t="inlineStr">
        <is>
          <t>Patrick Rivera</t>
        </is>
      </c>
      <c r="C23" t="n">
        <v>46</v>
      </c>
      <c r="D23" t="n">
        <v>6</v>
      </c>
      <c r="E23" t="inlineStr">
        <is>
          <t>Marcelo (5), Ronaldo (1)</t>
        </is>
      </c>
    </row>
    <row r="24">
      <c r="A24" t="inlineStr">
        <is>
          <t>W33</t>
        </is>
      </c>
      <c r="B24" t="inlineStr">
        <is>
          <t>Ehder Lhen</t>
        </is>
      </c>
      <c r="C24" t="n">
        <v>46</v>
      </c>
      <c r="D24" t="n">
        <v>6</v>
      </c>
      <c r="E24" t="inlineStr">
        <is>
          <t>Zombie-Knight (5), Bang-Wizzard (1)</t>
        </is>
      </c>
    </row>
    <row r="25">
      <c r="A25" t="inlineStr">
        <is>
          <t>W33</t>
        </is>
      </c>
      <c r="B25" t="inlineStr">
        <is>
          <t>Cedric</t>
        </is>
      </c>
      <c r="C25" t="n">
        <v>43.5</v>
      </c>
      <c r="D25" t="n">
        <v>7</v>
      </c>
      <c r="E25" t="inlineStr">
        <is>
          <t>Mukkbo-Knight (3), Town-Knight (3), Power20-Knight (1)</t>
        </is>
      </c>
    </row>
    <row r="26">
      <c r="A26" t="inlineStr">
        <is>
          <t>W33</t>
        </is>
      </c>
      <c r="B26" t="inlineStr">
        <is>
          <t>Ginbert</t>
        </is>
      </c>
      <c r="C26" t="n">
        <v>43</v>
      </c>
      <c r="D26" t="n">
        <v>5</v>
      </c>
      <c r="E26" t="inlineStr">
        <is>
          <t>Jangbi-Knight (2), Power20-Knight (1), Sea-Knight (1), Catleya (1)</t>
        </is>
      </c>
    </row>
    <row r="27">
      <c r="A27" t="inlineStr">
        <is>
          <t>W33</t>
        </is>
      </c>
      <c r="B27" t="inlineStr">
        <is>
          <t>David Ayag</t>
        </is>
      </c>
      <c r="C27" t="n">
        <v>42</v>
      </c>
      <c r="D27" t="n">
        <v>6</v>
      </c>
      <c r="E27" t="inlineStr">
        <is>
          <t>Perez-Spatoy (3), Kyoryu(Elf) (1), Dalo-Knight (1), Alex-Knight (1)</t>
        </is>
      </c>
    </row>
    <row r="28">
      <c r="A28" t="inlineStr">
        <is>
          <t>W33</t>
        </is>
      </c>
      <c r="B28" t="inlineStr">
        <is>
          <t>Christelle</t>
        </is>
      </c>
      <c r="C28" t="n">
        <v>41</v>
      </c>
      <c r="D28" t="n">
        <v>6</v>
      </c>
      <c r="E28" t="inlineStr">
        <is>
          <t>Alex-Knight (6)</t>
        </is>
      </c>
    </row>
    <row r="29">
      <c r="A29" t="inlineStr">
        <is>
          <t>W33</t>
        </is>
      </c>
      <c r="B29" t="inlineStr">
        <is>
          <t>Jay Penilla</t>
        </is>
      </c>
      <c r="C29" t="n">
        <v>40</v>
      </c>
      <c r="D29" t="n">
        <v>6</v>
      </c>
      <c r="E29" t="inlineStr">
        <is>
          <t>Kyoryu(Elf) (5), Catleya (1)</t>
        </is>
      </c>
    </row>
    <row r="30">
      <c r="A30" t="inlineStr">
        <is>
          <t>W33</t>
        </is>
      </c>
      <c r="B30" t="inlineStr">
        <is>
          <t>Francis</t>
        </is>
      </c>
      <c r="C30" t="n">
        <v>40</v>
      </c>
      <c r="D30" t="n">
        <v>7</v>
      </c>
      <c r="E30" t="inlineStr">
        <is>
          <t>Ronaldo (3), Alex-Knight (2), Marcelo (1), Sarim (1)</t>
        </is>
      </c>
    </row>
    <row r="31">
      <c r="A31" t="inlineStr">
        <is>
          <t>W33</t>
        </is>
      </c>
      <c r="B31" t="inlineStr">
        <is>
          <t>Paul</t>
        </is>
      </c>
      <c r="C31" t="n">
        <v>40</v>
      </c>
      <c r="D31" t="n">
        <v>5</v>
      </c>
      <c r="E31" t="inlineStr">
        <is>
          <t>Captain - Lord (Prince) (3), Ronaldo (2)</t>
        </is>
      </c>
    </row>
    <row r="32">
      <c r="A32" t="inlineStr">
        <is>
          <t>W33</t>
        </is>
      </c>
      <c r="B32" t="inlineStr">
        <is>
          <t>Charles</t>
        </is>
      </c>
      <c r="C32" t="n">
        <v>39</v>
      </c>
      <c r="D32" t="n">
        <v>5</v>
      </c>
      <c r="E32" t="inlineStr">
        <is>
          <t>Captain - Lord (Prince) (3), Zombie-Knight (1), Olleh-knight (1)</t>
        </is>
      </c>
    </row>
    <row r="33">
      <c r="A33" t="inlineStr">
        <is>
          <t>W33</t>
        </is>
      </c>
      <c r="B33" t="inlineStr">
        <is>
          <t>Smartley</t>
        </is>
      </c>
      <c r="C33" t="n">
        <v>39</v>
      </c>
      <c r="D33" t="n">
        <v>6</v>
      </c>
      <c r="E33" t="inlineStr">
        <is>
          <t>Pele(Chaerin) (3), Ronaldo (2), Kyoryu(Elf) (1)</t>
        </is>
      </c>
    </row>
    <row r="34">
      <c r="A34" t="inlineStr">
        <is>
          <t>W33</t>
        </is>
      </c>
      <c r="B34" t="inlineStr">
        <is>
          <t>Marlon</t>
        </is>
      </c>
      <c r="C34" t="n">
        <v>38</v>
      </c>
      <c r="D34" t="n">
        <v>5</v>
      </c>
      <c r="E34" t="inlineStr">
        <is>
          <t>Zombie-Knight (4), Jangbi-Knight (1)</t>
        </is>
      </c>
    </row>
    <row r="35">
      <c r="A35" t="inlineStr">
        <is>
          <t>W33</t>
        </is>
      </c>
      <c r="B35" t="inlineStr">
        <is>
          <t>Jan Nino</t>
        </is>
      </c>
      <c r="C35" t="n">
        <v>38</v>
      </c>
      <c r="D35" t="n">
        <v>5</v>
      </c>
      <c r="E35" t="inlineStr">
        <is>
          <t>Perez-Spatoy (4), Sarim (1)</t>
        </is>
      </c>
    </row>
    <row r="36">
      <c r="A36" t="inlineStr">
        <is>
          <t>W33</t>
        </is>
      </c>
      <c r="B36" t="inlineStr">
        <is>
          <t>Jefferson</t>
        </is>
      </c>
      <c r="C36" t="n">
        <v>36</v>
      </c>
      <c r="D36" t="n">
        <v>6</v>
      </c>
      <c r="E36" t="inlineStr">
        <is>
          <t>Sarim (3), Alex-Knight (1), Pele(Chaerin) (1), Real Madrid-Knight (1)</t>
        </is>
      </c>
    </row>
    <row r="37">
      <c r="A37" t="inlineStr">
        <is>
          <t>W33</t>
        </is>
      </c>
      <c r="B37" t="inlineStr">
        <is>
          <t>Jonard</t>
        </is>
      </c>
      <c r="C37" t="n">
        <v>32</v>
      </c>
      <c r="D37" t="n">
        <v>4</v>
      </c>
      <c r="E37" t="inlineStr">
        <is>
          <t>Captain - Lord (Prince) (3), Duga - Knight (1)</t>
        </is>
      </c>
    </row>
    <row r="38">
      <c r="A38" t="inlineStr">
        <is>
          <t>W33</t>
        </is>
      </c>
      <c r="B38" t="inlineStr">
        <is>
          <t>Jel Rick</t>
        </is>
      </c>
      <c r="C38" t="n">
        <v>31</v>
      </c>
      <c r="D38" t="n">
        <v>4</v>
      </c>
      <c r="E38" t="inlineStr">
        <is>
          <t>Ronaldo (1), Marcelo (1), Taejo (1), Alex-Knight (1)</t>
        </is>
      </c>
    </row>
    <row r="39">
      <c r="A39" t="inlineStr">
        <is>
          <t>W33</t>
        </is>
      </c>
      <c r="B39" t="inlineStr">
        <is>
          <t>Roderick</t>
        </is>
      </c>
      <c r="C39" t="n">
        <v>24</v>
      </c>
      <c r="D39" t="n">
        <v>3</v>
      </c>
      <c r="E39" t="inlineStr">
        <is>
          <t>Power20-Knight (3)</t>
        </is>
      </c>
    </row>
    <row r="40">
      <c r="A40" t="inlineStr">
        <is>
          <t>W33</t>
        </is>
      </c>
      <c r="B40" t="inlineStr">
        <is>
          <t>Mark Angelo</t>
        </is>
      </c>
      <c r="C40" t="n">
        <v>24</v>
      </c>
      <c r="D40" t="n">
        <v>3</v>
      </c>
      <c r="E40" t="inlineStr">
        <is>
          <t>Duga - Knight (3)</t>
        </is>
      </c>
    </row>
    <row r="41">
      <c r="A41" t="inlineStr">
        <is>
          <t>W33</t>
        </is>
      </c>
      <c r="B41" t="inlineStr">
        <is>
          <t>Benjamin</t>
        </is>
      </c>
      <c r="C41" t="n">
        <v>23</v>
      </c>
      <c r="D41" t="n">
        <v>3</v>
      </c>
      <c r="E41" t="inlineStr">
        <is>
          <t>Ronaldo (1), Pele(Chaerin) (1), Catleya (1)</t>
        </is>
      </c>
    </row>
    <row r="42">
      <c r="A42" t="inlineStr">
        <is>
          <t>W33</t>
        </is>
      </c>
      <c r="B42" t="inlineStr">
        <is>
          <t>Nikko</t>
        </is>
      </c>
      <c r="C42" t="n">
        <v>21</v>
      </c>
      <c r="D42" t="n">
        <v>4</v>
      </c>
      <c r="E42" t="inlineStr">
        <is>
          <t>Ronaldo (1), ADA-Knight (1), Catleya (1), Captain - Lord (Prince) (1)</t>
        </is>
      </c>
    </row>
    <row r="43">
      <c r="A43" t="inlineStr">
        <is>
          <t>W33</t>
        </is>
      </c>
      <c r="B43" t="inlineStr">
        <is>
          <t>TL-John</t>
        </is>
      </c>
      <c r="C43" t="n">
        <v>20</v>
      </c>
      <c r="D43" t="n">
        <v>5</v>
      </c>
      <c r="E43" t="inlineStr">
        <is>
          <t>Alex-Knight (5)</t>
        </is>
      </c>
    </row>
    <row r="44">
      <c r="A44" t="inlineStr">
        <is>
          <t>W33</t>
        </is>
      </c>
      <c r="B44" t="inlineStr">
        <is>
          <t>Cejay</t>
        </is>
      </c>
      <c r="C44" t="n">
        <v>20</v>
      </c>
      <c r="D44" t="n">
        <v>4</v>
      </c>
      <c r="E44" t="inlineStr">
        <is>
          <t>ADA-Knight (4)</t>
        </is>
      </c>
    </row>
    <row r="45">
      <c r="A45" t="inlineStr">
        <is>
          <t>W33</t>
        </is>
      </c>
      <c r="B45" t="inlineStr">
        <is>
          <t>Khorry</t>
        </is>
      </c>
      <c r="C45" t="n">
        <v>19</v>
      </c>
      <c r="D45" t="n">
        <v>3</v>
      </c>
      <c r="E45" t="inlineStr">
        <is>
          <t>Marcelo (2), ADA-Knight (1)</t>
        </is>
      </c>
    </row>
    <row r="46">
      <c r="A46" t="inlineStr">
        <is>
          <t>W33</t>
        </is>
      </c>
      <c r="B46" t="inlineStr">
        <is>
          <t>Jheco</t>
        </is>
      </c>
      <c r="C46" t="n">
        <v>19</v>
      </c>
      <c r="D46" t="n">
        <v>3</v>
      </c>
      <c r="E46" t="inlineStr">
        <is>
          <t>Mukkbo-Knight (3)</t>
        </is>
      </c>
    </row>
    <row r="47">
      <c r="A47" t="inlineStr">
        <is>
          <t>W33</t>
        </is>
      </c>
      <c r="B47" t="inlineStr">
        <is>
          <t>Vincent</t>
        </is>
      </c>
      <c r="C47" t="n">
        <v>16</v>
      </c>
      <c r="D47" t="n">
        <v>3</v>
      </c>
      <c r="E47" t="inlineStr">
        <is>
          <t>Kyoryu(Elf) (3)</t>
        </is>
      </c>
    </row>
    <row r="48">
      <c r="A48" t="inlineStr">
        <is>
          <t>W33</t>
        </is>
      </c>
      <c r="B48" t="inlineStr">
        <is>
          <t>Christopher</t>
        </is>
      </c>
      <c r="C48" t="n">
        <v>16</v>
      </c>
      <c r="D48" t="n">
        <v>2</v>
      </c>
      <c r="E48" t="inlineStr">
        <is>
          <t>Real Madrid-Knight (2)</t>
        </is>
      </c>
    </row>
    <row r="49">
      <c r="A49" t="inlineStr">
        <is>
          <t>W33</t>
        </is>
      </c>
      <c r="B49" t="inlineStr">
        <is>
          <t>Adrian Torres</t>
        </is>
      </c>
      <c r="C49" t="n">
        <v>14</v>
      </c>
      <c r="D49" t="n">
        <v>2</v>
      </c>
      <c r="E49" t="inlineStr">
        <is>
          <t>Ronaldo (2)</t>
        </is>
      </c>
    </row>
    <row r="50">
      <c r="A50" t="inlineStr">
        <is>
          <t>W33</t>
        </is>
      </c>
      <c r="B50" t="inlineStr">
        <is>
          <t>Jayson</t>
        </is>
      </c>
      <c r="C50" t="n">
        <v>14</v>
      </c>
      <c r="D50" t="n">
        <v>2</v>
      </c>
      <c r="E50" t="inlineStr">
        <is>
          <t>Sarim (2)</t>
        </is>
      </c>
    </row>
    <row r="51">
      <c r="A51" t="inlineStr">
        <is>
          <t>W33</t>
        </is>
      </c>
      <c r="B51" t="inlineStr">
        <is>
          <t>Justin Keith</t>
        </is>
      </c>
      <c r="C51" t="n">
        <v>13</v>
      </c>
      <c r="D51" t="n">
        <v>3</v>
      </c>
      <c r="E51" t="inlineStr">
        <is>
          <t>Taejo (2), ADA-Knight (1)</t>
        </is>
      </c>
    </row>
    <row r="52">
      <c r="A52" t="inlineStr">
        <is>
          <t>W33</t>
        </is>
      </c>
      <c r="B52" t="inlineStr">
        <is>
          <t>Adrian Paul</t>
        </is>
      </c>
      <c r="C52" t="n">
        <v>11</v>
      </c>
      <c r="D52" t="n">
        <v>2</v>
      </c>
      <c r="E52" t="inlineStr">
        <is>
          <t>Sarim (2)</t>
        </is>
      </c>
    </row>
    <row r="53">
      <c r="A53" t="inlineStr">
        <is>
          <t>W33</t>
        </is>
      </c>
      <c r="B53" t="inlineStr">
        <is>
          <t>Dale</t>
        </is>
      </c>
      <c r="C53" t="n">
        <v>8</v>
      </c>
      <c r="D53" t="n">
        <v>1</v>
      </c>
      <c r="E53" t="inlineStr">
        <is>
          <t>Elf-Elf (1)</t>
        </is>
      </c>
    </row>
    <row r="54">
      <c r="A54" t="inlineStr">
        <is>
          <t>W33</t>
        </is>
      </c>
      <c r="B54" t="inlineStr">
        <is>
          <t>Daved Ayag</t>
        </is>
      </c>
      <c r="C54" t="n">
        <v>8</v>
      </c>
      <c r="D54" t="n">
        <v>1</v>
      </c>
      <c r="E54" t="inlineStr">
        <is>
          <t>Captain - Lord (Prince) (1)</t>
        </is>
      </c>
    </row>
    <row r="55">
      <c r="A55" t="inlineStr">
        <is>
          <t>W33</t>
        </is>
      </c>
      <c r="B55" t="inlineStr">
        <is>
          <t>Angelo Diocales</t>
        </is>
      </c>
      <c r="C55" t="n">
        <v>6</v>
      </c>
      <c r="D55" t="n">
        <v>1</v>
      </c>
      <c r="E55" t="inlineStr">
        <is>
          <t>Pele(Chaerin) (1)</t>
        </is>
      </c>
    </row>
    <row r="56">
      <c r="A56" t="inlineStr">
        <is>
          <t>W33</t>
        </is>
      </c>
      <c r="B56" t="inlineStr">
        <is>
          <t>Justin Kieth</t>
        </is>
      </c>
      <c r="C56" t="n">
        <v>4</v>
      </c>
      <c r="D56" t="n">
        <v>1</v>
      </c>
      <c r="E56" t="inlineStr">
        <is>
          <t>ADA-Knight (1)</t>
        </is>
      </c>
    </row>
    <row r="57">
      <c r="A57" t="inlineStr">
        <is>
          <t>W33</t>
        </is>
      </c>
      <c r="B57" t="inlineStr">
        <is>
          <t>Tl-John</t>
        </is>
      </c>
      <c r="C57" t="n">
        <v>3.5</v>
      </c>
      <c r="D57" t="n">
        <v>1</v>
      </c>
      <c r="E57" t="inlineStr">
        <is>
          <t>Alex-Knight (1)</t>
        </is>
      </c>
    </row>
    <row r="58">
      <c r="A58" t="inlineStr">
        <is>
          <t>W34</t>
        </is>
      </c>
      <c r="B58" t="inlineStr">
        <is>
          <t>Mark Anthony</t>
        </is>
      </c>
      <c r="C58" t="n">
        <v>79</v>
      </c>
      <c r="D58" t="n">
        <v>7</v>
      </c>
      <c r="E58" t="inlineStr">
        <is>
          <t>Doma-Knight (7)</t>
        </is>
      </c>
    </row>
    <row r="59">
      <c r="A59" t="inlineStr">
        <is>
          <t>W34</t>
        </is>
      </c>
      <c r="B59" t="inlineStr">
        <is>
          <t>Raymond</t>
        </is>
      </c>
      <c r="C59" t="n">
        <v>73</v>
      </c>
      <c r="D59" t="n">
        <v>12</v>
      </c>
      <c r="E59" t="inlineStr">
        <is>
          <t>Sarim (4), Elf-Elf (4), Marcelo (1), Pele(Chaerin) (1), Jjuni-Knight (1), Real Madrid-Knight (1)</t>
        </is>
      </c>
    </row>
    <row r="60">
      <c r="A60" t="inlineStr">
        <is>
          <t>W34</t>
        </is>
      </c>
      <c r="B60" t="inlineStr">
        <is>
          <t>Joseph Racca</t>
        </is>
      </c>
      <c r="C60" t="n">
        <v>72</v>
      </c>
      <c r="D60" t="n">
        <v>6</v>
      </c>
      <c r="E60" t="inlineStr">
        <is>
          <t>Tiger-Knight (6)</t>
        </is>
      </c>
    </row>
    <row r="61">
      <c r="A61" t="inlineStr">
        <is>
          <t>W34</t>
        </is>
      </c>
      <c r="B61" t="inlineStr">
        <is>
          <t>Richard Salupari</t>
        </is>
      </c>
      <c r="C61" t="n">
        <v>67</v>
      </c>
      <c r="D61" t="n">
        <v>6</v>
      </c>
      <c r="E61" t="inlineStr">
        <is>
          <t>Jjuni-Knight (6)</t>
        </is>
      </c>
    </row>
    <row r="62">
      <c r="A62" t="inlineStr">
        <is>
          <t>W34</t>
        </is>
      </c>
      <c r="B62" t="inlineStr">
        <is>
          <t>Mitchell</t>
        </is>
      </c>
      <c r="C62" t="n">
        <v>64</v>
      </c>
      <c r="D62" t="n">
        <v>7</v>
      </c>
      <c r="E62" t="inlineStr">
        <is>
          <t>Lolly Elf (7)</t>
        </is>
      </c>
    </row>
    <row r="63">
      <c r="A63" t="inlineStr">
        <is>
          <t>W34</t>
        </is>
      </c>
      <c r="B63" t="inlineStr">
        <is>
          <t>Smartley</t>
        </is>
      </c>
      <c r="C63" t="n">
        <v>61</v>
      </c>
      <c r="D63" t="n">
        <v>9</v>
      </c>
      <c r="E63" t="inlineStr">
        <is>
          <t>Marcelo (2), Olleh-knight (2), Dalo-Knight (1), Alex-Knight (1), Jangbi-Knight (1), Tiger-Knight (1), Captain - Lord (Prince) (1)</t>
        </is>
      </c>
    </row>
    <row r="64">
      <c r="A64" t="inlineStr">
        <is>
          <t>W34</t>
        </is>
      </c>
      <c r="B64" t="inlineStr">
        <is>
          <t>Raul</t>
        </is>
      </c>
      <c r="C64" t="n">
        <v>60</v>
      </c>
      <c r="D64" t="n">
        <v>6</v>
      </c>
      <c r="E64" t="inlineStr">
        <is>
          <t>Dalo-Knight (6)</t>
        </is>
      </c>
    </row>
    <row r="65">
      <c r="A65" t="inlineStr">
        <is>
          <t>W34</t>
        </is>
      </c>
      <c r="B65" t="inlineStr">
        <is>
          <t>Jheco</t>
        </is>
      </c>
      <c r="C65" t="n">
        <v>56</v>
      </c>
      <c r="D65" t="n">
        <v>8</v>
      </c>
      <c r="E65" t="inlineStr">
        <is>
          <t>Mukkbo-Knight (6), Kyoryu(Elf) (1), Marcelo (1)</t>
        </is>
      </c>
    </row>
    <row r="66">
      <c r="A66" t="inlineStr">
        <is>
          <t>W34</t>
        </is>
      </c>
      <c r="B66" t="inlineStr">
        <is>
          <t>Monteza</t>
        </is>
      </c>
      <c r="C66" t="n">
        <v>54</v>
      </c>
      <c r="D66" t="n">
        <v>9</v>
      </c>
      <c r="E66" t="inlineStr">
        <is>
          <t>Heon-Knight (3), Kyoryu(Elf) (1), Alex-Knight (1), Pele(Chaerin) (1), Elf-Elf (1), Real Madrid-Knight (1), Olleh-knight (1)</t>
        </is>
      </c>
    </row>
    <row r="67">
      <c r="A67" t="inlineStr">
        <is>
          <t>W34</t>
        </is>
      </c>
      <c r="B67" t="inlineStr">
        <is>
          <t>Samantha</t>
        </is>
      </c>
      <c r="C67" t="n">
        <v>54</v>
      </c>
      <c r="D67" t="n">
        <v>7</v>
      </c>
      <c r="E67" t="inlineStr">
        <is>
          <t>Perez-Spatoy (7)</t>
        </is>
      </c>
    </row>
    <row r="68">
      <c r="A68" t="inlineStr">
        <is>
          <t>W34</t>
        </is>
      </c>
      <c r="B68" t="inlineStr">
        <is>
          <t>Zenron</t>
        </is>
      </c>
      <c r="C68" t="n">
        <v>54</v>
      </c>
      <c r="D68" t="n">
        <v>7</v>
      </c>
      <c r="E68" t="inlineStr">
        <is>
          <t>Perez-Spatoy (7)</t>
        </is>
      </c>
    </row>
    <row r="69">
      <c r="A69" t="inlineStr">
        <is>
          <t>W34</t>
        </is>
      </c>
      <c r="B69" t="inlineStr">
        <is>
          <t>Isiah</t>
        </is>
      </c>
      <c r="C69" t="n">
        <v>54</v>
      </c>
      <c r="D69" t="n">
        <v>6</v>
      </c>
      <c r="E69" t="inlineStr">
        <is>
          <t>Power20-Knight (6)</t>
        </is>
      </c>
    </row>
    <row r="70">
      <c r="A70" t="inlineStr">
        <is>
          <t>W34</t>
        </is>
      </c>
      <c r="B70" t="inlineStr">
        <is>
          <t>JM Racca</t>
        </is>
      </c>
      <c r="C70" t="n">
        <v>53</v>
      </c>
      <c r="D70" t="n">
        <v>5</v>
      </c>
      <c r="E70" t="inlineStr">
        <is>
          <t>Olleh-knight (5)</t>
        </is>
      </c>
    </row>
    <row r="71">
      <c r="A71" t="inlineStr">
        <is>
          <t>W34</t>
        </is>
      </c>
      <c r="B71" t="inlineStr">
        <is>
          <t>Rhuzsel</t>
        </is>
      </c>
      <c r="C71" t="n">
        <v>52.5</v>
      </c>
      <c r="D71" t="n">
        <v>7</v>
      </c>
      <c r="E71" t="inlineStr">
        <is>
          <t>Lammy Queen - Elf (4), Jangbi-Knight (1), Jejo-Knight (1), Tiger-Knight (1)</t>
        </is>
      </c>
    </row>
    <row r="72">
      <c r="A72" t="inlineStr">
        <is>
          <t>W34</t>
        </is>
      </c>
      <c r="B72" t="inlineStr">
        <is>
          <t>Lemark</t>
        </is>
      </c>
      <c r="C72" t="n">
        <v>51</v>
      </c>
      <c r="D72" t="n">
        <v>7</v>
      </c>
      <c r="E72" t="inlineStr">
        <is>
          <t>Pele(Chaerin) (6), Kangaroo (Wizard) (1)</t>
        </is>
      </c>
    </row>
    <row r="73">
      <c r="A73" t="inlineStr">
        <is>
          <t>W34</t>
        </is>
      </c>
      <c r="B73" t="inlineStr">
        <is>
          <t>Roderick</t>
        </is>
      </c>
      <c r="C73" t="n">
        <v>49</v>
      </c>
      <c r="D73" t="n">
        <v>6</v>
      </c>
      <c r="E73" t="inlineStr">
        <is>
          <t>Power20-Knight (6)</t>
        </is>
      </c>
    </row>
    <row r="74">
      <c r="A74" t="inlineStr">
        <is>
          <t>W34</t>
        </is>
      </c>
      <c r="B74" t="inlineStr">
        <is>
          <t>Patrick Rivera</t>
        </is>
      </c>
      <c r="C74" t="n">
        <v>48</v>
      </c>
      <c r="D74" t="n">
        <v>7</v>
      </c>
      <c r="E74" t="inlineStr">
        <is>
          <t>Ronaldo (7)</t>
        </is>
      </c>
    </row>
    <row r="75">
      <c r="A75" t="inlineStr">
        <is>
          <t>W34</t>
        </is>
      </c>
      <c r="B75" t="inlineStr">
        <is>
          <t>David Ayag</t>
        </is>
      </c>
      <c r="C75" t="n">
        <v>48</v>
      </c>
      <c r="D75" t="n">
        <v>6</v>
      </c>
      <c r="E75" t="inlineStr">
        <is>
          <t>Perez-Spatoy (3), Real Madrid-Knight (3)</t>
        </is>
      </c>
    </row>
    <row r="76">
      <c r="A76" t="inlineStr">
        <is>
          <t>W34</t>
        </is>
      </c>
      <c r="B76" t="inlineStr">
        <is>
          <t>Jefferson</t>
        </is>
      </c>
      <c r="C76" t="n">
        <v>48</v>
      </c>
      <c r="D76" t="n">
        <v>8</v>
      </c>
      <c r="E76" t="inlineStr">
        <is>
          <t>Sarim (6), Power20-Knight (2)</t>
        </is>
      </c>
    </row>
    <row r="77">
      <c r="A77" t="inlineStr">
        <is>
          <t>W34</t>
        </is>
      </c>
      <c r="B77" t="inlineStr">
        <is>
          <t>Cath Valdez</t>
        </is>
      </c>
      <c r="C77" t="n">
        <v>48</v>
      </c>
      <c r="D77" t="n">
        <v>6</v>
      </c>
      <c r="E77" t="inlineStr">
        <is>
          <t>Ji-Hyun-Elf (6)</t>
        </is>
      </c>
    </row>
    <row r="78">
      <c r="A78" t="inlineStr">
        <is>
          <t>W34</t>
        </is>
      </c>
      <c r="B78" t="inlineStr">
        <is>
          <t>Jan Nino</t>
        </is>
      </c>
      <c r="C78" t="n">
        <v>47</v>
      </c>
      <c r="D78" t="n">
        <v>6</v>
      </c>
      <c r="E78" t="inlineStr">
        <is>
          <t>Perez-Spatoy (4), Marcelo (1), Real Madrid-Knight (1)</t>
        </is>
      </c>
    </row>
    <row r="79">
      <c r="A79" t="inlineStr">
        <is>
          <t>W34</t>
        </is>
      </c>
      <c r="B79" t="inlineStr">
        <is>
          <t>Cejay</t>
        </is>
      </c>
      <c r="C79" t="n">
        <v>47</v>
      </c>
      <c r="D79" t="n">
        <v>7</v>
      </c>
      <c r="E79" t="inlineStr">
        <is>
          <t>ADA-Knight (7)</t>
        </is>
      </c>
    </row>
    <row r="80">
      <c r="A80" t="inlineStr">
        <is>
          <t>W34</t>
        </is>
      </c>
      <c r="B80" t="inlineStr">
        <is>
          <t>Ehder Lhen</t>
        </is>
      </c>
      <c r="C80" t="n">
        <v>46</v>
      </c>
      <c r="D80" t="n">
        <v>6</v>
      </c>
      <c r="E80" t="inlineStr">
        <is>
          <t>Zombie-Knight (5), Power20-Knight (1)</t>
        </is>
      </c>
    </row>
    <row r="81">
      <c r="A81" t="inlineStr">
        <is>
          <t>W34</t>
        </is>
      </c>
      <c r="B81" t="inlineStr">
        <is>
          <t>Jeffrey</t>
        </is>
      </c>
      <c r="C81" t="n">
        <v>44.5</v>
      </c>
      <c r="D81" t="n">
        <v>6</v>
      </c>
      <c r="E81" t="inlineStr">
        <is>
          <t>Jangbi-Knight (5), Jjuni-Knight (1)</t>
        </is>
      </c>
    </row>
    <row r="82">
      <c r="A82" t="inlineStr">
        <is>
          <t>W34</t>
        </is>
      </c>
      <c r="B82" t="inlineStr">
        <is>
          <t>Kim Carl</t>
        </is>
      </c>
      <c r="C82" t="n">
        <v>44</v>
      </c>
      <c r="D82" t="n">
        <v>5</v>
      </c>
      <c r="E82" t="inlineStr">
        <is>
          <t>Sea-Knight (5)</t>
        </is>
      </c>
    </row>
    <row r="83">
      <c r="A83" t="inlineStr">
        <is>
          <t>W34</t>
        </is>
      </c>
      <c r="B83" t="inlineStr">
        <is>
          <t>Jay Penilla</t>
        </is>
      </c>
      <c r="C83" t="n">
        <v>41</v>
      </c>
      <c r="D83" t="n">
        <v>8</v>
      </c>
      <c r="E83" t="inlineStr">
        <is>
          <t>Kyoryu(Elf) (5), Marcelo (1), ADA-Knight (1), Dalo-Knight (1)</t>
        </is>
      </c>
    </row>
    <row r="84">
      <c r="A84" t="inlineStr">
        <is>
          <t>W34</t>
        </is>
      </c>
      <c r="B84" t="inlineStr">
        <is>
          <t>Lourence</t>
        </is>
      </c>
      <c r="C84" t="n">
        <v>41</v>
      </c>
      <c r="D84" t="n">
        <v>6</v>
      </c>
      <c r="E84" t="inlineStr">
        <is>
          <t>Kyoryu(Elf) (4), Bang-Wizzard (1), Lammy Queen - Elf (1)</t>
        </is>
      </c>
    </row>
    <row r="85">
      <c r="A85" t="inlineStr">
        <is>
          <t>W34</t>
        </is>
      </c>
      <c r="B85" t="inlineStr">
        <is>
          <t>Danica Bautista</t>
        </is>
      </c>
      <c r="C85" t="n">
        <v>41</v>
      </c>
      <c r="D85" t="n">
        <v>5</v>
      </c>
      <c r="E85" t="inlineStr">
        <is>
          <t>Jejo-Knight (5)</t>
        </is>
      </c>
    </row>
    <row r="86">
      <c r="A86" t="inlineStr">
        <is>
          <t>W34</t>
        </is>
      </c>
      <c r="B86" t="inlineStr">
        <is>
          <t>Marlon</t>
        </is>
      </c>
      <c r="C86" t="n">
        <v>40</v>
      </c>
      <c r="D86" t="n">
        <v>5</v>
      </c>
      <c r="E86" t="inlineStr">
        <is>
          <t>Zombie-Knight (4), Duga - Knight (1)</t>
        </is>
      </c>
    </row>
    <row r="87">
      <c r="A87" t="inlineStr">
        <is>
          <t>W34</t>
        </is>
      </c>
      <c r="B87" t="inlineStr">
        <is>
          <t>Mark Valdez</t>
        </is>
      </c>
      <c r="C87" t="n">
        <v>40</v>
      </c>
      <c r="D87" t="n">
        <v>5</v>
      </c>
      <c r="E87" t="inlineStr">
        <is>
          <t>Real Madrid-Knight (5)</t>
        </is>
      </c>
    </row>
    <row r="88">
      <c r="A88" t="inlineStr">
        <is>
          <t>W34</t>
        </is>
      </c>
      <c r="B88" t="inlineStr">
        <is>
          <t>Paul</t>
        </is>
      </c>
      <c r="C88" t="n">
        <v>40</v>
      </c>
      <c r="D88" t="n">
        <v>5</v>
      </c>
      <c r="E88" t="inlineStr">
        <is>
          <t>Captain - Lord (Prince) (5)</t>
        </is>
      </c>
    </row>
    <row r="89">
      <c r="A89" t="inlineStr">
        <is>
          <t>W34</t>
        </is>
      </c>
      <c r="B89" t="inlineStr">
        <is>
          <t>Angelo Diocales</t>
        </is>
      </c>
      <c r="C89" t="n">
        <v>39</v>
      </c>
      <c r="D89" t="n">
        <v>6</v>
      </c>
      <c r="E89" t="inlineStr">
        <is>
          <t>Ronaldo (2), Kyoryu(Elf) (1), Taejo (1), Alex-Knight (1), Sudden (Wizard) (1)</t>
        </is>
      </c>
    </row>
    <row r="90">
      <c r="A90" t="inlineStr">
        <is>
          <t>W34</t>
        </is>
      </c>
      <c r="B90" t="inlineStr">
        <is>
          <t>Charles</t>
        </is>
      </c>
      <c r="C90" t="n">
        <v>39</v>
      </c>
      <c r="D90" t="n">
        <v>5</v>
      </c>
      <c r="E90" t="inlineStr">
        <is>
          <t>Captain - Lord (Prince) (2), Zombie-Knight (1), Ronaldo (1), Olleh-knight (1)</t>
        </is>
      </c>
    </row>
    <row r="91">
      <c r="A91" t="inlineStr">
        <is>
          <t>W34</t>
        </is>
      </c>
      <c r="B91" t="inlineStr">
        <is>
          <t>Patrick</t>
        </is>
      </c>
      <c r="C91" t="n">
        <v>38</v>
      </c>
      <c r="D91" t="n">
        <v>4</v>
      </c>
      <c r="E91" t="inlineStr">
        <is>
          <t>Catleya (4)</t>
        </is>
      </c>
    </row>
    <row r="92">
      <c r="A92" t="inlineStr">
        <is>
          <t>W34</t>
        </is>
      </c>
      <c r="B92" t="inlineStr">
        <is>
          <t>Cedric</t>
        </is>
      </c>
      <c r="C92" t="n">
        <v>36</v>
      </c>
      <c r="D92" t="n">
        <v>6</v>
      </c>
      <c r="E92" t="inlineStr">
        <is>
          <t>Sarim (2), Jangbi-Knight (1), Bang-Wizzard (1), Doma-Knight (1), Elf-Elf (1)</t>
        </is>
      </c>
    </row>
    <row r="93">
      <c r="A93" t="inlineStr">
        <is>
          <t>W34</t>
        </is>
      </c>
      <c r="B93" t="inlineStr">
        <is>
          <t>Adrian Torres</t>
        </is>
      </c>
      <c r="C93" t="n">
        <v>36</v>
      </c>
      <c r="D93" t="n">
        <v>5</v>
      </c>
      <c r="E93" t="inlineStr">
        <is>
          <t>Sudden (Wizard) (3), Taejo (2)</t>
        </is>
      </c>
    </row>
    <row r="94">
      <c r="A94" t="inlineStr">
        <is>
          <t>W34</t>
        </is>
      </c>
      <c r="B94" t="inlineStr">
        <is>
          <t>Christelle</t>
        </is>
      </c>
      <c r="C94" t="n">
        <v>36</v>
      </c>
      <c r="D94" t="n">
        <v>5</v>
      </c>
      <c r="E94" t="inlineStr">
        <is>
          <t>Alex-Knight (5)</t>
        </is>
      </c>
    </row>
    <row r="95">
      <c r="A95" t="inlineStr">
        <is>
          <t>W34</t>
        </is>
      </c>
      <c r="B95" t="inlineStr">
        <is>
          <t>Christopher</t>
        </is>
      </c>
      <c r="C95" t="n">
        <v>32</v>
      </c>
      <c r="D95" t="n">
        <v>4</v>
      </c>
      <c r="E95" t="inlineStr">
        <is>
          <t>Taejo (2), Kyoryu(Elf) (1), Real Madrid-Knight (1)</t>
        </is>
      </c>
    </row>
    <row r="96">
      <c r="A96" t="inlineStr">
        <is>
          <t>W34</t>
        </is>
      </c>
      <c r="B96" t="inlineStr">
        <is>
          <t>Mark Angelo</t>
        </is>
      </c>
      <c r="C96" t="n">
        <v>32</v>
      </c>
      <c r="D96" t="n">
        <v>4</v>
      </c>
      <c r="E96" t="inlineStr">
        <is>
          <t>Duga - Knight (4)</t>
        </is>
      </c>
    </row>
    <row r="97">
      <c r="A97" t="inlineStr">
        <is>
          <t>W34</t>
        </is>
      </c>
      <c r="B97" t="inlineStr">
        <is>
          <t>Reno</t>
        </is>
      </c>
      <c r="C97" t="n">
        <v>31</v>
      </c>
      <c r="D97" t="n">
        <v>4</v>
      </c>
      <c r="E97" t="inlineStr">
        <is>
          <t>Pele(Chaerin) (2), Catleya (1), Captain - Lord (Prince) (1)</t>
        </is>
      </c>
    </row>
    <row r="98">
      <c r="A98" t="inlineStr">
        <is>
          <t>W34</t>
        </is>
      </c>
      <c r="B98" t="inlineStr">
        <is>
          <t>Francis</t>
        </is>
      </c>
      <c r="C98" t="n">
        <v>30</v>
      </c>
      <c r="D98" t="n">
        <v>4</v>
      </c>
      <c r="E98" t="inlineStr">
        <is>
          <t>Ronaldo (2), Marcelo (1), Sarim (1)</t>
        </is>
      </c>
    </row>
    <row r="99">
      <c r="A99" t="inlineStr">
        <is>
          <t>W34</t>
        </is>
      </c>
      <c r="B99" t="inlineStr">
        <is>
          <t>Ginbert</t>
        </is>
      </c>
      <c r="C99" t="n">
        <v>29</v>
      </c>
      <c r="D99" t="n">
        <v>5</v>
      </c>
      <c r="E99" t="inlineStr">
        <is>
          <t>Power20-Knight (2), Kyoryu(Elf) (1), Ronaldo (1), ADA-Knight (1)</t>
        </is>
      </c>
    </row>
    <row r="100">
      <c r="A100" t="inlineStr">
        <is>
          <t>W34</t>
        </is>
      </c>
      <c r="B100" t="inlineStr">
        <is>
          <t>Nikko</t>
        </is>
      </c>
      <c r="C100" t="n">
        <v>28</v>
      </c>
      <c r="D100" t="n">
        <v>4</v>
      </c>
      <c r="E100" t="inlineStr">
        <is>
          <t>Captain - Lord (Prince) (2), Marcelo (1), Duga - Knight (1)</t>
        </is>
      </c>
    </row>
    <row r="101">
      <c r="A101" t="inlineStr">
        <is>
          <t>W34</t>
        </is>
      </c>
      <c r="B101" t="inlineStr">
        <is>
          <t>Jonard</t>
        </is>
      </c>
      <c r="C101" t="n">
        <v>24</v>
      </c>
      <c r="D101" t="n">
        <v>3</v>
      </c>
      <c r="E101" t="inlineStr">
        <is>
          <t>Captain - Lord (Prince) (2), Duga - Knight (1)</t>
        </is>
      </c>
    </row>
    <row r="102">
      <c r="A102" t="inlineStr">
        <is>
          <t>W34</t>
        </is>
      </c>
      <c r="B102" t="inlineStr">
        <is>
          <t>Jel Rick</t>
        </is>
      </c>
      <c r="C102" t="n">
        <v>23</v>
      </c>
      <c r="D102" t="n">
        <v>3</v>
      </c>
      <c r="E102" t="inlineStr">
        <is>
          <t>Marcelo (2), Alex-Knight (1)</t>
        </is>
      </c>
    </row>
    <row r="103">
      <c r="A103" t="inlineStr">
        <is>
          <t>W34</t>
        </is>
      </c>
      <c r="B103" t="inlineStr">
        <is>
          <t>Vincent</t>
        </is>
      </c>
      <c r="C103" t="n">
        <v>15</v>
      </c>
      <c r="D103" t="n">
        <v>2</v>
      </c>
      <c r="E103" t="inlineStr">
        <is>
          <t>Kyoryu(Elf) (1), Taejo (1)</t>
        </is>
      </c>
    </row>
    <row r="104">
      <c r="A104" t="inlineStr">
        <is>
          <t>W34</t>
        </is>
      </c>
      <c r="B104" t="inlineStr">
        <is>
          <t>Justin Keith</t>
        </is>
      </c>
      <c r="C104" t="n">
        <v>7</v>
      </c>
      <c r="D104" t="n">
        <v>1</v>
      </c>
      <c r="E104" t="inlineStr">
        <is>
          <t>Alex-Knight (1)</t>
        </is>
      </c>
    </row>
    <row r="105">
      <c r="A105" t="inlineStr">
        <is>
          <t>W34</t>
        </is>
      </c>
      <c r="B105" t="inlineStr">
        <is>
          <t>TL-John</t>
        </is>
      </c>
      <c r="C105" t="n">
        <v>5</v>
      </c>
      <c r="D105" t="n">
        <v>2</v>
      </c>
      <c r="E105" t="inlineStr">
        <is>
          <t>Marcelo (1), Alex-Knight (1)</t>
        </is>
      </c>
    </row>
    <row r="106">
      <c r="A106" t="inlineStr">
        <is>
          <t>W34</t>
        </is>
      </c>
      <c r="B106" t="inlineStr">
        <is>
          <t>Tl-John</t>
        </is>
      </c>
      <c r="C106" t="n">
        <v>4</v>
      </c>
      <c r="D106" t="n">
        <v>1</v>
      </c>
      <c r="E106" t="inlineStr">
        <is>
          <t>Alex-Knight (1)</t>
        </is>
      </c>
    </row>
    <row r="107">
      <c r="A107" t="inlineStr">
        <is>
          <t>W19</t>
        </is>
      </c>
      <c r="B107" t="inlineStr">
        <is>
          <t>David Ayag</t>
        </is>
      </c>
      <c r="C107" t="n">
        <v>71</v>
      </c>
      <c r="D107" t="n">
        <v>10</v>
      </c>
      <c r="E107" t="inlineStr">
        <is>
          <t>Alex Acc 31 Lv (3), Kyoryu(Elf) (1), Pung Acc (elf) (1), Perez (1), Power20 33Lv (1), Bob (1), Ronaldinho (Mania224ss Gmail) (1), Rivaldo (1)</t>
        </is>
      </c>
    </row>
    <row r="108">
      <c r="A108" t="inlineStr">
        <is>
          <t>W19</t>
        </is>
      </c>
      <c r="B108" t="inlineStr">
        <is>
          <t>Marlon</t>
        </is>
      </c>
      <c r="C108" t="n">
        <v>62</v>
      </c>
      <c r="D108" t="n">
        <v>11</v>
      </c>
      <c r="E108" t="inlineStr">
        <is>
          <t>Pung Acc (elf) (5), Cheer Captain (Leedy) (3), Bing (Linpower40) (2), Kaisel (1)</t>
        </is>
      </c>
    </row>
    <row r="109">
      <c r="A109" t="inlineStr">
        <is>
          <t>W19</t>
        </is>
      </c>
      <c r="B109" t="inlineStr">
        <is>
          <t>Joshua Calicdan</t>
        </is>
      </c>
      <c r="C109" t="n">
        <v>59.5</v>
      </c>
      <c r="D109" t="n">
        <v>9</v>
      </c>
      <c r="E109" t="inlineStr">
        <is>
          <t>taejo (CHUN 2) (6), ADA (Knight) (1), Ronaldo (1), Pele (1)</t>
        </is>
      </c>
    </row>
    <row r="110">
      <c r="A110" t="inlineStr">
        <is>
          <t>W19</t>
        </is>
      </c>
      <c r="B110" t="inlineStr">
        <is>
          <t>Rhuzsel</t>
        </is>
      </c>
      <c r="C110" t="n">
        <v>58</v>
      </c>
      <c r="D110" t="n">
        <v>8</v>
      </c>
      <c r="E110" t="inlineStr">
        <is>
          <t>Cheer Captain (Leedy) (2), gus (CHUN 1) (2), Perez (1), taejo (CHUN 2) (1), Alex Acc 31 Lv (1), Bob (1)</t>
        </is>
      </c>
    </row>
    <row r="111">
      <c r="A111" t="inlineStr">
        <is>
          <t>W19</t>
        </is>
      </c>
      <c r="B111" t="inlineStr">
        <is>
          <t>Monteza</t>
        </is>
      </c>
      <c r="C111" t="n">
        <v>54</v>
      </c>
      <c r="D111" t="n">
        <v>7</v>
      </c>
      <c r="E111" t="inlineStr">
        <is>
          <t>Bing (Linpower40) (3), Marcelo (mania224 Lineage) (2), Cheer Captain (Leedy) (1), Ronaldinho (Mania224ss Gmail) (1)</t>
        </is>
      </c>
    </row>
    <row r="112">
      <c r="A112" t="inlineStr">
        <is>
          <t>W19</t>
        </is>
      </c>
      <c r="B112" t="inlineStr">
        <is>
          <t>Mark Angelo</t>
        </is>
      </c>
      <c r="C112" t="n">
        <v>53</v>
      </c>
      <c r="D112" t="n">
        <v>10</v>
      </c>
      <c r="E112" t="inlineStr">
        <is>
          <t>ADA (Knight) (4), Sarim (2), Perez (1), Ronaldinho (Mania224ss Gmail) (1), Bing (Linpower40) (1), Pele (1)</t>
        </is>
      </c>
    </row>
    <row r="113">
      <c r="A113" t="inlineStr">
        <is>
          <t>W19</t>
        </is>
      </c>
      <c r="B113" t="inlineStr">
        <is>
          <t>Erween</t>
        </is>
      </c>
      <c r="C113" t="n">
        <v>53</v>
      </c>
      <c r="D113" t="n">
        <v>7</v>
      </c>
      <c r="E113" t="inlineStr">
        <is>
          <t>Kaisel (4), taejo (CHUN 2) (1), Rivaldo (1), Ronaldo (1)</t>
        </is>
      </c>
    </row>
    <row r="114">
      <c r="A114" t="inlineStr">
        <is>
          <t>W19</t>
        </is>
      </c>
      <c r="B114" t="inlineStr">
        <is>
          <t>Patrick</t>
        </is>
      </c>
      <c r="C114" t="n">
        <v>52.5</v>
      </c>
      <c r="D114" t="n">
        <v>6</v>
      </c>
      <c r="E114" t="inlineStr">
        <is>
          <t>Sarim (2), ADA (Knight) (1), Marcelo (mania224 Lineage) (1), Bob (1), Bing (Linpower40) (1)</t>
        </is>
      </c>
    </row>
    <row r="115">
      <c r="A115" t="inlineStr">
        <is>
          <t>W19</t>
        </is>
      </c>
      <c r="B115" t="inlineStr">
        <is>
          <t>Mark Valdez</t>
        </is>
      </c>
      <c r="C115" t="n">
        <v>52</v>
      </c>
      <c r="D115" t="n">
        <v>7</v>
      </c>
      <c r="E115" t="inlineStr">
        <is>
          <t>Alex Acc 31 Lv (3), Rivaldo (2), Perez (1), taejo (CHUN 2) (1)</t>
        </is>
      </c>
    </row>
    <row r="116">
      <c r="A116" t="inlineStr">
        <is>
          <t>W19</t>
        </is>
      </c>
      <c r="B116" t="inlineStr">
        <is>
          <t>Carl Dacion</t>
        </is>
      </c>
      <c r="C116" t="n">
        <v>48</v>
      </c>
      <c r="D116" t="n">
        <v>7</v>
      </c>
      <c r="E116" t="inlineStr">
        <is>
          <t>Kyoryu(Elf) (2), Sarim (2), Perez (1), Marcelo (mania224 Lineage) (1), Ronaldinho (Mania224ss Gmail) (1)</t>
        </is>
      </c>
    </row>
    <row r="117">
      <c r="A117" t="inlineStr">
        <is>
          <t>W19</t>
        </is>
      </c>
      <c r="B117" t="inlineStr">
        <is>
          <t>Lemark</t>
        </is>
      </c>
      <c r="C117" t="n">
        <v>47</v>
      </c>
      <c r="D117" t="n">
        <v>7</v>
      </c>
      <c r="E117" t="inlineStr">
        <is>
          <t>Kyoryu(Elf) (2), Sarim (2), Rivaldo (2), Bing (Linpower40) (1)</t>
        </is>
      </c>
    </row>
    <row r="118">
      <c r="A118" t="inlineStr">
        <is>
          <t>W19</t>
        </is>
      </c>
      <c r="B118" t="inlineStr">
        <is>
          <t>Richard</t>
        </is>
      </c>
      <c r="C118" t="n">
        <v>46</v>
      </c>
      <c r="D118" t="n">
        <v>7</v>
      </c>
      <c r="E118" t="inlineStr">
        <is>
          <t>Ronaldinho (Mania224ss Gmail) (3), Marcelo (mania224 Lineage) (2), Bing (Linpower40) (1), Eastin (1)</t>
        </is>
      </c>
    </row>
    <row r="119">
      <c r="A119" t="inlineStr">
        <is>
          <t>W19</t>
        </is>
      </c>
      <c r="B119" t="inlineStr">
        <is>
          <t>Mitchell</t>
        </is>
      </c>
      <c r="C119" t="n">
        <v>45.5</v>
      </c>
      <c r="D119" t="n">
        <v>6</v>
      </c>
      <c r="E119" t="inlineStr">
        <is>
          <t>Kyoryu(Elf) (2), Sarim (1), Alex Acc 31 Lv (1), Bob (1), gus (CHUN 1) (1)</t>
        </is>
      </c>
    </row>
    <row r="120">
      <c r="A120" t="inlineStr">
        <is>
          <t>W19</t>
        </is>
      </c>
      <c r="B120" t="inlineStr">
        <is>
          <t>Kim Carl</t>
        </is>
      </c>
      <c r="C120" t="n">
        <v>45.5</v>
      </c>
      <c r="D120" t="n">
        <v>6</v>
      </c>
      <c r="E120" t="inlineStr">
        <is>
          <t>Kaisel (6)</t>
        </is>
      </c>
    </row>
    <row r="121">
      <c r="A121" t="inlineStr">
        <is>
          <t>W19</t>
        </is>
      </c>
      <c r="B121" t="inlineStr">
        <is>
          <t>JM Racca</t>
        </is>
      </c>
      <c r="C121" t="n">
        <v>42</v>
      </c>
      <c r="D121" t="n">
        <v>6</v>
      </c>
      <c r="E121" t="inlineStr">
        <is>
          <t>Dalo (4), Perez (1), Alex Acc 31 Lv (1)</t>
        </is>
      </c>
    </row>
    <row r="122">
      <c r="A122" t="inlineStr">
        <is>
          <t>W19</t>
        </is>
      </c>
      <c r="B122" t="inlineStr">
        <is>
          <t>Andaya</t>
        </is>
      </c>
      <c r="C122" t="n">
        <v>40</v>
      </c>
      <c r="D122" t="n">
        <v>6</v>
      </c>
      <c r="E122" t="inlineStr">
        <is>
          <t>Kyoryu(Elf) (2), Marcelo (mania224 Lineage) (2), Ronaldinho (Mania224ss Gmail) (2)</t>
        </is>
      </c>
    </row>
    <row r="123">
      <c r="A123" t="inlineStr">
        <is>
          <t>W19</t>
        </is>
      </c>
      <c r="B123" t="inlineStr">
        <is>
          <t>Jonard</t>
        </is>
      </c>
      <c r="C123" t="n">
        <v>40</v>
      </c>
      <c r="D123" t="n">
        <v>5</v>
      </c>
      <c r="E123" t="inlineStr">
        <is>
          <t>Perez (4), Power20 33Lv (1)</t>
        </is>
      </c>
    </row>
    <row r="124">
      <c r="A124" t="inlineStr">
        <is>
          <t>W19</t>
        </is>
      </c>
      <c r="B124" t="inlineStr">
        <is>
          <t>Ginbert</t>
        </is>
      </c>
      <c r="C124" t="n">
        <v>40</v>
      </c>
      <c r="D124" t="n">
        <v>5</v>
      </c>
      <c r="E124" t="inlineStr">
        <is>
          <t>Power20 33Lv (4), Perez (1)</t>
        </is>
      </c>
    </row>
    <row r="125">
      <c r="A125" t="inlineStr">
        <is>
          <t>W19</t>
        </is>
      </c>
      <c r="B125" t="inlineStr">
        <is>
          <t>Reno</t>
        </is>
      </c>
      <c r="C125" t="n">
        <v>40</v>
      </c>
      <c r="D125" t="n">
        <v>5</v>
      </c>
      <c r="E125" t="inlineStr">
        <is>
          <t>Alex Acc 31 Lv (3), Perez (1), Bob (1)</t>
        </is>
      </c>
    </row>
    <row r="126">
      <c r="A126" t="inlineStr">
        <is>
          <t>W19</t>
        </is>
      </c>
      <c r="B126" t="inlineStr">
        <is>
          <t>Cath Valdez</t>
        </is>
      </c>
      <c r="C126" t="n">
        <v>40</v>
      </c>
      <c r="D126" t="n">
        <v>5</v>
      </c>
      <c r="E126" t="inlineStr">
        <is>
          <t>Sarim (3), taejo (CHUN 2) (2)</t>
        </is>
      </c>
    </row>
    <row r="127">
      <c r="A127" t="inlineStr">
        <is>
          <t>W19</t>
        </is>
      </c>
      <c r="B127" t="inlineStr">
        <is>
          <t>Mac Arthur</t>
        </is>
      </c>
      <c r="C127" t="n">
        <v>40</v>
      </c>
      <c r="D127" t="n">
        <v>5</v>
      </c>
      <c r="E127" t="inlineStr">
        <is>
          <t>Sarim (1), taejo (CHUN 2) (1), Power20 33Lv (1), Cheer Captain (Leedy) (1), Rivaldo (1)</t>
        </is>
      </c>
    </row>
    <row r="128">
      <c r="A128" t="inlineStr">
        <is>
          <t>W19</t>
        </is>
      </c>
      <c r="B128" t="inlineStr">
        <is>
          <t>Arvin</t>
        </is>
      </c>
      <c r="C128" t="n">
        <v>40</v>
      </c>
      <c r="D128" t="n">
        <v>5</v>
      </c>
      <c r="E128" t="inlineStr">
        <is>
          <t>Cheer Captain (Leedy) (2), taejo (CHUN 2) (1), Power20 33Lv (1), Ronaldo (1)</t>
        </is>
      </c>
    </row>
    <row r="129">
      <c r="A129" t="inlineStr">
        <is>
          <t>W19</t>
        </is>
      </c>
      <c r="B129" t="inlineStr">
        <is>
          <t>Chester</t>
        </is>
      </c>
      <c r="C129" t="n">
        <v>40</v>
      </c>
      <c r="D129" t="n">
        <v>5</v>
      </c>
      <c r="E129" t="inlineStr">
        <is>
          <t>Power20 33Lv (4), Alex Acc 31 Lv (1)</t>
        </is>
      </c>
    </row>
    <row r="130">
      <c r="A130" t="inlineStr">
        <is>
          <t>W19</t>
        </is>
      </c>
      <c r="B130" t="inlineStr">
        <is>
          <t>Jan Nino</t>
        </is>
      </c>
      <c r="C130" t="n">
        <v>39</v>
      </c>
      <c r="D130" t="n">
        <v>6</v>
      </c>
      <c r="E130" t="inlineStr">
        <is>
          <t>gus (CHUN 1) (3), Rivaldo (2), Kyoryu(Elf) (1)</t>
        </is>
      </c>
    </row>
    <row r="131">
      <c r="A131" t="inlineStr">
        <is>
          <t>W19</t>
        </is>
      </c>
      <c r="B131" t="inlineStr">
        <is>
          <t>Ranier</t>
        </is>
      </c>
      <c r="C131" t="n">
        <v>39</v>
      </c>
      <c r="D131" t="n">
        <v>5</v>
      </c>
      <c r="E131" t="inlineStr">
        <is>
          <t>Kyoryu(Elf) (3), Bing (Linpower40) (2)</t>
        </is>
      </c>
    </row>
    <row r="132">
      <c r="A132" t="inlineStr">
        <is>
          <t>W19</t>
        </is>
      </c>
      <c r="B132" t="inlineStr">
        <is>
          <t>Vergel</t>
        </is>
      </c>
      <c r="C132" t="n">
        <v>39</v>
      </c>
      <c r="D132" t="n">
        <v>5</v>
      </c>
      <c r="E132" t="inlineStr">
        <is>
          <t>Perez (5)</t>
        </is>
      </c>
    </row>
    <row r="133">
      <c r="A133" t="inlineStr">
        <is>
          <t>W19</t>
        </is>
      </c>
      <c r="B133" t="inlineStr">
        <is>
          <t>Jefferson</t>
        </is>
      </c>
      <c r="C133" t="n">
        <v>39</v>
      </c>
      <c r="D133" t="n">
        <v>5</v>
      </c>
      <c r="E133" t="inlineStr">
        <is>
          <t>Sarim (5)</t>
        </is>
      </c>
    </row>
    <row r="134">
      <c r="A134" t="inlineStr">
        <is>
          <t>W19</t>
        </is>
      </c>
      <c r="B134" t="inlineStr">
        <is>
          <t>Jay Penilla</t>
        </is>
      </c>
      <c r="C134" t="n">
        <v>39</v>
      </c>
      <c r="D134" t="n">
        <v>5</v>
      </c>
      <c r="E134" t="inlineStr">
        <is>
          <t>taejo (CHUN 2) (4), Alex Acc 31 Lv (1)</t>
        </is>
      </c>
    </row>
    <row r="135">
      <c r="A135" t="inlineStr">
        <is>
          <t>W19</t>
        </is>
      </c>
      <c r="B135" t="inlineStr">
        <is>
          <t>Sam</t>
        </is>
      </c>
      <c r="C135" t="n">
        <v>38</v>
      </c>
      <c r="D135" t="n">
        <v>5</v>
      </c>
      <c r="E135" t="inlineStr">
        <is>
          <t>Kyoryu(Elf) (3), Cheer Captain (Leedy) (1), Rivaldo (1)</t>
        </is>
      </c>
    </row>
    <row r="136">
      <c r="A136" t="inlineStr">
        <is>
          <t>W19</t>
        </is>
      </c>
      <c r="B136" t="inlineStr">
        <is>
          <t>Jasper</t>
        </is>
      </c>
      <c r="C136" t="n">
        <v>38</v>
      </c>
      <c r="D136" t="n">
        <v>5</v>
      </c>
      <c r="E136" t="inlineStr">
        <is>
          <t>Kyoryu(Elf) (2), Ronaldinho (Mania224ss Gmail) (2), Marcelo (mania224 Lineage) (1)</t>
        </is>
      </c>
    </row>
    <row r="137">
      <c r="A137" t="inlineStr">
        <is>
          <t>W19</t>
        </is>
      </c>
      <c r="B137" t="inlineStr">
        <is>
          <t>Joseph Racca</t>
        </is>
      </c>
      <c r="C137" t="n">
        <v>38</v>
      </c>
      <c r="D137" t="n">
        <v>5</v>
      </c>
      <c r="E137" t="inlineStr">
        <is>
          <t>Perez (4), Dalo (1)</t>
        </is>
      </c>
    </row>
    <row r="138">
      <c r="A138" t="inlineStr">
        <is>
          <t>W19</t>
        </is>
      </c>
      <c r="B138" t="inlineStr">
        <is>
          <t>Jheco</t>
        </is>
      </c>
      <c r="C138" t="n">
        <v>38</v>
      </c>
      <c r="D138" t="n">
        <v>5</v>
      </c>
      <c r="E138" t="inlineStr">
        <is>
          <t>Kaisel (3), taejo (CHUN 2) (2)</t>
        </is>
      </c>
    </row>
    <row r="139">
      <c r="A139" t="inlineStr">
        <is>
          <t>W19</t>
        </is>
      </c>
      <c r="B139" t="inlineStr">
        <is>
          <t>Vincent C</t>
        </is>
      </c>
      <c r="C139" t="n">
        <v>38</v>
      </c>
      <c r="D139" t="n">
        <v>5</v>
      </c>
      <c r="E139" t="inlineStr">
        <is>
          <t>Kaisel (3), Dalo (1), Bing (Linpower40) (1)</t>
        </is>
      </c>
    </row>
    <row r="140">
      <c r="A140" t="inlineStr">
        <is>
          <t>W19</t>
        </is>
      </c>
      <c r="B140" t="inlineStr">
        <is>
          <t>Ethelward</t>
        </is>
      </c>
      <c r="C140" t="n">
        <v>37</v>
      </c>
      <c r="D140" t="n">
        <v>5</v>
      </c>
      <c r="E140" t="inlineStr">
        <is>
          <t>Sarim (3), Kaisel (1), Cheer Captain (Leedy) (1)</t>
        </is>
      </c>
    </row>
    <row r="141">
      <c r="A141" t="inlineStr">
        <is>
          <t>W19</t>
        </is>
      </c>
      <c r="B141" t="inlineStr">
        <is>
          <t>Raul</t>
        </is>
      </c>
      <c r="C141" t="n">
        <v>36</v>
      </c>
      <c r="D141" t="n">
        <v>5</v>
      </c>
      <c r="E141" t="inlineStr">
        <is>
          <t>Kaisel (3), Marcelo (mania224 Lineage) (2)</t>
        </is>
      </c>
    </row>
    <row r="142">
      <c r="A142" t="inlineStr">
        <is>
          <t>W19</t>
        </is>
      </c>
      <c r="B142" t="inlineStr">
        <is>
          <t>Christopher</t>
        </is>
      </c>
      <c r="C142" t="n">
        <v>33.5</v>
      </c>
      <c r="D142" t="n">
        <v>5</v>
      </c>
      <c r="E142" t="inlineStr">
        <is>
          <t>Alex Acc 31 Lv (5)</t>
        </is>
      </c>
    </row>
    <row r="143">
      <c r="A143" t="inlineStr">
        <is>
          <t>W19</t>
        </is>
      </c>
      <c r="B143" t="inlineStr">
        <is>
          <t>Edween</t>
        </is>
      </c>
      <c r="C143" t="n">
        <v>27</v>
      </c>
      <c r="D143" t="n">
        <v>4</v>
      </c>
      <c r="E143" t="inlineStr">
        <is>
          <t>Kyoryu(Elf) (2), Marcelo (mania224 Lineage) (1), Ronaldinho (Mania224ss Gmail) (1)</t>
        </is>
      </c>
    </row>
    <row r="144">
      <c r="A144" t="inlineStr">
        <is>
          <t>W19</t>
        </is>
      </c>
      <c r="B144" t="inlineStr">
        <is>
          <t>Evander</t>
        </is>
      </c>
      <c r="C144" t="n">
        <v>24.5</v>
      </c>
      <c r="D144" t="n">
        <v>5</v>
      </c>
      <c r="E144" t="inlineStr">
        <is>
          <t>Kyoryu(Elf) (1), ADA (Knight) (1), Marcelo (mania224 Lineage) (1), Power20 33Lv (1), Ronaldo (1)</t>
        </is>
      </c>
    </row>
    <row r="145">
      <c r="A145" t="inlineStr">
        <is>
          <t>W19</t>
        </is>
      </c>
      <c r="B145" t="inlineStr">
        <is>
          <t>Tylo Cedric</t>
        </is>
      </c>
      <c r="C145" t="n">
        <v>24</v>
      </c>
      <c r="D145" t="n">
        <v>3</v>
      </c>
      <c r="E145" t="inlineStr">
        <is>
          <t>Pele (2), Marcelo (mania224 Lineage) (1)</t>
        </is>
      </c>
    </row>
    <row r="146">
      <c r="A146" t="inlineStr">
        <is>
          <t>W19</t>
        </is>
      </c>
      <c r="B146" t="inlineStr">
        <is>
          <t>Isiah Trainee</t>
        </is>
      </c>
      <c r="C146" t="n">
        <v>24</v>
      </c>
      <c r="D146" t="n">
        <v>3</v>
      </c>
      <c r="E146" t="inlineStr">
        <is>
          <t>Bing (Linpower40) (2), Cheer Captain (Leedy) (1)</t>
        </is>
      </c>
    </row>
    <row r="147">
      <c r="A147" t="inlineStr">
        <is>
          <t>W19</t>
        </is>
      </c>
      <c r="B147" t="inlineStr">
        <is>
          <t>Samantha Trainee</t>
        </is>
      </c>
      <c r="C147" t="n">
        <v>24</v>
      </c>
      <c r="D147" t="n">
        <v>3</v>
      </c>
      <c r="E147" t="inlineStr">
        <is>
          <t>Ronaldo (2), Cheer Captain (Leedy) (1)</t>
        </is>
      </c>
    </row>
    <row r="148">
      <c r="A148" t="inlineStr">
        <is>
          <t>W19</t>
        </is>
      </c>
      <c r="B148" t="inlineStr">
        <is>
          <t>Cejay Sison</t>
        </is>
      </c>
      <c r="C148" t="n">
        <v>24</v>
      </c>
      <c r="D148" t="n">
        <v>3</v>
      </c>
      <c r="E148" t="inlineStr">
        <is>
          <t>Cheer Captain (Leedy) (2), Eastin (1)</t>
        </is>
      </c>
    </row>
    <row r="149">
      <c r="A149" t="inlineStr">
        <is>
          <t>W19</t>
        </is>
      </c>
      <c r="B149" t="inlineStr">
        <is>
          <t>Christelle Trainee</t>
        </is>
      </c>
      <c r="C149" t="n">
        <v>24</v>
      </c>
      <c r="D149" t="n">
        <v>3</v>
      </c>
      <c r="E149" t="inlineStr">
        <is>
          <t>Ronaldinho (Mania224ss Gmail) (1), Eastin (1), Pele (1)</t>
        </is>
      </c>
    </row>
    <row r="150">
      <c r="A150" t="inlineStr">
        <is>
          <t>W19</t>
        </is>
      </c>
      <c r="B150" t="inlineStr">
        <is>
          <t>Adrian Torres</t>
        </is>
      </c>
      <c r="C150" t="n">
        <v>24</v>
      </c>
      <c r="D150" t="n">
        <v>3</v>
      </c>
      <c r="E150" t="inlineStr">
        <is>
          <t>Eastin (2), Bing (Linpower40) (1)</t>
        </is>
      </c>
    </row>
    <row r="151">
      <c r="A151" t="inlineStr">
        <is>
          <t>W19</t>
        </is>
      </c>
      <c r="B151" t="inlineStr">
        <is>
          <t>Benjamin Trainee</t>
        </is>
      </c>
      <c r="C151" t="n">
        <v>24</v>
      </c>
      <c r="D151" t="n">
        <v>3</v>
      </c>
      <c r="E151" t="inlineStr">
        <is>
          <t>Rivaldo (3)</t>
        </is>
      </c>
    </row>
    <row r="152">
      <c r="A152" t="inlineStr">
        <is>
          <t>W19</t>
        </is>
      </c>
      <c r="B152" t="inlineStr">
        <is>
          <t>Trainees</t>
        </is>
      </c>
      <c r="C152" t="n">
        <v>16</v>
      </c>
      <c r="D152" t="n">
        <v>2</v>
      </c>
      <c r="E152" t="inlineStr">
        <is>
          <t>Ronaldo (2)</t>
        </is>
      </c>
    </row>
    <row r="153">
      <c r="A153" t="inlineStr">
        <is>
          <t>W20</t>
        </is>
      </c>
      <c r="B153" t="inlineStr">
        <is>
          <t>David Ayag</t>
        </is>
      </c>
      <c r="C153" t="n">
        <v>85</v>
      </c>
      <c r="D153" t="n">
        <v>11</v>
      </c>
      <c r="E153" t="inlineStr">
        <is>
          <t>Perez (4), Pele (3), Bing (Linpower40) (1), Eastin (1), Dalo (2)</t>
        </is>
      </c>
    </row>
    <row r="154">
      <c r="A154" t="inlineStr">
        <is>
          <t>W20</t>
        </is>
      </c>
      <c r="B154" t="inlineStr">
        <is>
          <t>Rhuzsel</t>
        </is>
      </c>
      <c r="C154" t="n">
        <v>64.5</v>
      </c>
      <c r="D154" t="n">
        <v>9</v>
      </c>
      <c r="E154" t="inlineStr">
        <is>
          <t>Bob (6), Taejo (1), Cheer Captain (Leedy) (1), Ronaldo (1)</t>
        </is>
      </c>
    </row>
    <row r="155">
      <c r="A155" t="inlineStr">
        <is>
          <t>W20</t>
        </is>
      </c>
      <c r="B155" t="inlineStr">
        <is>
          <t>Jan Nino</t>
        </is>
      </c>
      <c r="C155" t="n">
        <v>63</v>
      </c>
      <c r="D155" t="n">
        <v>9</v>
      </c>
      <c r="E155" t="inlineStr">
        <is>
          <t>Alex Acc 31 Lv (3), Kyoryu(Elf) (1), Ronaldinho (Mania224ss Gmail) (1), Rivaldo (1), Gus (1), Eastin (1), Pele (1)</t>
        </is>
      </c>
    </row>
    <row r="156">
      <c r="A156" t="inlineStr">
        <is>
          <t>W20</t>
        </is>
      </c>
      <c r="B156" t="inlineStr">
        <is>
          <t>Cath Valdez</t>
        </is>
      </c>
      <c r="C156" t="n">
        <v>54</v>
      </c>
      <c r="D156" t="n">
        <v>7</v>
      </c>
      <c r="E156" t="inlineStr">
        <is>
          <t>Kaisel (2), Sarim (2), Bing (Linpower40) (2), Kyoryu(Elf) (1)</t>
        </is>
      </c>
    </row>
    <row r="157">
      <c r="A157" t="inlineStr">
        <is>
          <t>W20</t>
        </is>
      </c>
      <c r="B157" t="inlineStr">
        <is>
          <t>Monteza</t>
        </is>
      </c>
      <c r="C157" t="n">
        <v>54</v>
      </c>
      <c r="D157" t="n">
        <v>7</v>
      </c>
      <c r="E157" t="inlineStr">
        <is>
          <t>Marcelo (mania224 Lineage) (3), Cheer Captain (Leedy) (2), Rivaldo (2)</t>
        </is>
      </c>
    </row>
    <row r="158">
      <c r="A158" t="inlineStr">
        <is>
          <t>W20</t>
        </is>
      </c>
      <c r="B158" t="inlineStr">
        <is>
          <t>Joshua Calicdan</t>
        </is>
      </c>
      <c r="C158" t="n">
        <v>51.5</v>
      </c>
      <c r="D158" t="n">
        <v>7</v>
      </c>
      <c r="E158" t="inlineStr">
        <is>
          <t>Taejo (6), Ronaldinho (Mania224ss Gmail) (1)</t>
        </is>
      </c>
    </row>
    <row r="159">
      <c r="A159" t="inlineStr">
        <is>
          <t>W20</t>
        </is>
      </c>
      <c r="B159" t="inlineStr">
        <is>
          <t>Mark Angelo</t>
        </is>
      </c>
      <c r="C159" t="n">
        <v>54</v>
      </c>
      <c r="D159" t="n">
        <v>8</v>
      </c>
      <c r="E159" t="inlineStr">
        <is>
          <t>ADA (Knight) (6), Pele (1), Cheer Captain (Leedy) (1)</t>
        </is>
      </c>
    </row>
    <row r="160">
      <c r="A160" t="inlineStr">
        <is>
          <t>W20</t>
        </is>
      </c>
      <c r="B160" t="inlineStr">
        <is>
          <t>Reno</t>
        </is>
      </c>
      <c r="C160" t="n">
        <v>48</v>
      </c>
      <c r="D160" t="n">
        <v>7</v>
      </c>
      <c r="E160" t="inlineStr">
        <is>
          <t>Perez (2), Alex Acc 31 Lv (2), Gus (2), Pele (1)</t>
        </is>
      </c>
    </row>
    <row r="161">
      <c r="A161" t="inlineStr">
        <is>
          <t>W20</t>
        </is>
      </c>
      <c r="B161" t="inlineStr">
        <is>
          <t>Chester</t>
        </is>
      </c>
      <c r="C161" t="n">
        <v>47</v>
      </c>
      <c r="D161" t="n">
        <v>7</v>
      </c>
      <c r="E161" t="inlineStr">
        <is>
          <t>Power20 33Lv (6), Eastin (1)</t>
        </is>
      </c>
    </row>
    <row r="162">
      <c r="A162" t="inlineStr">
        <is>
          <t>W20</t>
        </is>
      </c>
      <c r="B162" t="inlineStr">
        <is>
          <t>Marlon</t>
        </is>
      </c>
      <c r="C162" t="n">
        <v>46</v>
      </c>
      <c r="D162" t="n">
        <v>8</v>
      </c>
      <c r="E162" t="inlineStr">
        <is>
          <t>Marcelo (mania224 Lineage) (3), Pung Acc (elf) (1), Kaisel (1), Power20 33Lv (1), Cheer Captain (Leedy) (1), Ronaldo (1)</t>
        </is>
      </c>
    </row>
    <row r="163">
      <c r="A163" t="inlineStr">
        <is>
          <t>W20</t>
        </is>
      </c>
      <c r="B163" t="inlineStr">
        <is>
          <t>Mitchell</t>
        </is>
      </c>
      <c r="C163" t="n">
        <v>46</v>
      </c>
      <c r="D163" t="n">
        <v>6</v>
      </c>
      <c r="E163" t="inlineStr">
        <is>
          <t>Sarim (2), Power20 33Lv (2), Marcelo (mania224 Lineage) (2)</t>
        </is>
      </c>
    </row>
    <row r="164">
      <c r="A164" t="inlineStr">
        <is>
          <t>W20</t>
        </is>
      </c>
      <c r="B164" t="inlineStr">
        <is>
          <t>Lemark</t>
        </is>
      </c>
      <c r="C164" t="n">
        <v>46</v>
      </c>
      <c r="D164" t="n">
        <v>6</v>
      </c>
      <c r="E164" t="inlineStr">
        <is>
          <t>Sarim (2), Gus (2), Alex Acc 31 Lv (1), Bing (Linpower40) (1)</t>
        </is>
      </c>
    </row>
    <row r="165">
      <c r="A165" t="inlineStr">
        <is>
          <t>W20</t>
        </is>
      </c>
      <c r="B165" t="inlineStr">
        <is>
          <t>Kim Carl</t>
        </is>
      </c>
      <c r="C165" t="n">
        <v>45</v>
      </c>
      <c r="D165" t="n">
        <v>7</v>
      </c>
      <c r="E165" t="inlineStr">
        <is>
          <t>Kaisel (5), Sarim (1), Ronaldinho (Mania224ss Gmail) (1)</t>
        </is>
      </c>
    </row>
    <row r="166">
      <c r="A166" t="inlineStr">
        <is>
          <t>W20</t>
        </is>
      </c>
      <c r="B166" t="inlineStr">
        <is>
          <t>Christopher</t>
        </is>
      </c>
      <c r="C166" t="n">
        <v>45</v>
      </c>
      <c r="D166" t="n">
        <v>6</v>
      </c>
      <c r="E166" t="inlineStr">
        <is>
          <t>Alex Acc 31 Lv (6)</t>
        </is>
      </c>
    </row>
    <row r="167">
      <c r="A167" t="inlineStr">
        <is>
          <t>W20</t>
        </is>
      </c>
      <c r="B167" t="inlineStr">
        <is>
          <t>Patrick</t>
        </is>
      </c>
      <c r="C167" t="n">
        <v>44</v>
      </c>
      <c r="D167" t="n">
        <v>7</v>
      </c>
      <c r="E167" t="inlineStr">
        <is>
          <t>Sarim (4), ADA (Knight) (1), Ronaldinho (Mania224ss Gmail) (1), Rivaldo (1)</t>
        </is>
      </c>
    </row>
    <row r="168">
      <c r="A168" t="inlineStr">
        <is>
          <t>W20</t>
        </is>
      </c>
      <c r="B168" t="inlineStr">
        <is>
          <t>Samantha</t>
        </is>
      </c>
      <c r="C168" t="n">
        <v>44</v>
      </c>
      <c r="D168" t="n">
        <v>6</v>
      </c>
      <c r="E168" t="inlineStr">
        <is>
          <t>Bing (Linpower40) (4), Ronaldo (1), Eastin (1)</t>
        </is>
      </c>
    </row>
    <row r="169">
      <c r="A169" t="inlineStr">
        <is>
          <t>W20</t>
        </is>
      </c>
      <c r="B169" t="inlineStr">
        <is>
          <t>Erween</t>
        </is>
      </c>
      <c r="C169" t="n">
        <v>42</v>
      </c>
      <c r="D169" t="n">
        <v>7</v>
      </c>
      <c r="E169" t="inlineStr">
        <is>
          <t>Bing (Linpower40) (4), Kyoryu(Elf) (1), Sarim (1), Ronaldinho (Mania224ss Gmail) (1)</t>
        </is>
      </c>
    </row>
    <row r="170">
      <c r="A170" t="inlineStr">
        <is>
          <t>W20</t>
        </is>
      </c>
      <c r="B170" t="inlineStr">
        <is>
          <t>Jasper</t>
        </is>
      </c>
      <c r="C170" t="n">
        <v>42</v>
      </c>
      <c r="D170" t="n">
        <v>6</v>
      </c>
      <c r="E170" t="inlineStr">
        <is>
          <t>Marcelo (mania224 Lineage) (3), Kyoryu(Elf) (1), Kaisel (1), Taejo (1)</t>
        </is>
      </c>
    </row>
    <row r="171">
      <c r="A171" t="inlineStr">
        <is>
          <t>W20</t>
        </is>
      </c>
      <c r="B171" t="inlineStr">
        <is>
          <t>Jheco</t>
        </is>
      </c>
      <c r="C171" t="n">
        <v>38</v>
      </c>
      <c r="D171" t="n">
        <v>5</v>
      </c>
      <c r="E171" t="inlineStr">
        <is>
          <t>Alex Acc 31 Lv (2), Kyoryu(Elf) (1), Kaisel (1), Sarim (1)</t>
        </is>
      </c>
    </row>
    <row r="172">
      <c r="A172" t="inlineStr">
        <is>
          <t>W20</t>
        </is>
      </c>
      <c r="B172" t="inlineStr">
        <is>
          <t>Ginbert</t>
        </is>
      </c>
      <c r="C172" t="n">
        <v>38</v>
      </c>
      <c r="D172" t="n">
        <v>5</v>
      </c>
      <c r="E172" t="inlineStr">
        <is>
          <t>Power20 33Lv (3), Perez (2)</t>
        </is>
      </c>
    </row>
    <row r="173">
      <c r="A173" t="inlineStr">
        <is>
          <t>W20</t>
        </is>
      </c>
      <c r="B173" t="inlineStr">
        <is>
          <t>Joseph Racca</t>
        </is>
      </c>
      <c r="C173" t="n">
        <v>38</v>
      </c>
      <c r="D173" t="n">
        <v>5</v>
      </c>
      <c r="E173" t="inlineStr">
        <is>
          <t>Perez (5)</t>
        </is>
      </c>
    </row>
    <row r="174">
      <c r="A174" t="inlineStr">
        <is>
          <t>W20</t>
        </is>
      </c>
      <c r="B174" t="inlineStr">
        <is>
          <t>Mark Valdez</t>
        </is>
      </c>
      <c r="C174" t="n">
        <v>38</v>
      </c>
      <c r="D174" t="n">
        <v>5</v>
      </c>
      <c r="E174" t="inlineStr">
        <is>
          <t>Alex Acc 31 Lv (3), Perez (2)</t>
        </is>
      </c>
    </row>
    <row r="175">
      <c r="A175" t="inlineStr">
        <is>
          <t>W20</t>
        </is>
      </c>
      <c r="B175" t="inlineStr">
        <is>
          <t>Ethelward</t>
        </is>
      </c>
      <c r="C175" t="n">
        <v>38</v>
      </c>
      <c r="D175" t="n">
        <v>5</v>
      </c>
      <c r="E175" t="inlineStr">
        <is>
          <t>Kaisel (2), Dalo (1), Power20 33Lv (1), Cheer Captain (Leedy) (1)</t>
        </is>
      </c>
    </row>
    <row r="176">
      <c r="A176" t="inlineStr">
        <is>
          <t>W20</t>
        </is>
      </c>
      <c r="B176" t="inlineStr">
        <is>
          <t>Vincent C</t>
        </is>
      </c>
      <c r="C176" t="n">
        <v>38</v>
      </c>
      <c r="D176" t="n">
        <v>5</v>
      </c>
      <c r="E176" t="inlineStr">
        <is>
          <t>Alex Acc 31 Lv (2), Kaisel (1), Dalo (1), Cheer Captain (Leedy) (1)</t>
        </is>
      </c>
    </row>
    <row r="177">
      <c r="A177" t="inlineStr">
        <is>
          <t>W20</t>
        </is>
      </c>
      <c r="B177" t="inlineStr">
        <is>
          <t>JM Racca</t>
        </is>
      </c>
      <c r="C177" t="n">
        <v>38</v>
      </c>
      <c r="D177" t="n">
        <v>5</v>
      </c>
      <c r="E177" t="inlineStr">
        <is>
          <t>Dalo (5)</t>
        </is>
      </c>
    </row>
    <row r="178">
      <c r="A178" t="inlineStr">
        <is>
          <t>W20</t>
        </is>
      </c>
      <c r="B178" t="inlineStr">
        <is>
          <t>Richard</t>
        </is>
      </c>
      <c r="C178" t="n">
        <v>38</v>
      </c>
      <c r="D178" t="n">
        <v>5</v>
      </c>
      <c r="E178" t="inlineStr">
        <is>
          <t>Taejo (2), Marcelo (mania224 Lineage) (2), Ronaldo (1)</t>
        </is>
      </c>
    </row>
    <row r="179">
      <c r="A179" t="inlineStr">
        <is>
          <t>W20</t>
        </is>
      </c>
      <c r="B179" t="inlineStr">
        <is>
          <t>Cejay</t>
        </is>
      </c>
      <c r="C179" t="n">
        <v>38</v>
      </c>
      <c r="D179" t="n">
        <v>5</v>
      </c>
      <c r="E179" t="inlineStr">
        <is>
          <t>Ronaldo (2), Cheer Captain (Leedy) (1), Rivaldo (1), Gus (1)</t>
        </is>
      </c>
    </row>
    <row r="180">
      <c r="A180" t="inlineStr">
        <is>
          <t>W20</t>
        </is>
      </c>
      <c r="B180" t="inlineStr">
        <is>
          <t>Benjamin</t>
        </is>
      </c>
      <c r="C180" t="n">
        <v>38</v>
      </c>
      <c r="D180" t="n">
        <v>5</v>
      </c>
      <c r="E180" t="inlineStr">
        <is>
          <t>Gus (3), Ronaldinho (Mania224ss Gmail) (1), Bing (Linpower40) (1)</t>
        </is>
      </c>
    </row>
    <row r="181">
      <c r="A181" t="inlineStr">
        <is>
          <t>W20</t>
        </is>
      </c>
      <c r="B181" t="inlineStr">
        <is>
          <t>Isiah</t>
        </is>
      </c>
      <c r="C181" t="n">
        <v>46</v>
      </c>
      <c r="D181" t="n">
        <v>6</v>
      </c>
      <c r="E181" t="inlineStr">
        <is>
          <t>Rivaldo (4), Pele (1), Rivaldo (1)</t>
        </is>
      </c>
    </row>
    <row r="182">
      <c r="A182" t="inlineStr">
        <is>
          <t>W20</t>
        </is>
      </c>
      <c r="B182" t="inlineStr">
        <is>
          <t>Edween</t>
        </is>
      </c>
      <c r="C182" t="n">
        <v>37</v>
      </c>
      <c r="D182" t="n">
        <v>5</v>
      </c>
      <c r="E182" t="inlineStr">
        <is>
          <t>Kyoryu(Elf) (2), Marcelo (mania224 Lineage) (2), Alex Acc 31 Lv (1)</t>
        </is>
      </c>
    </row>
    <row r="183">
      <c r="A183" t="inlineStr">
        <is>
          <t>W20</t>
        </is>
      </c>
      <c r="B183" t="inlineStr">
        <is>
          <t>Evander</t>
        </is>
      </c>
      <c r="C183" t="n">
        <v>37</v>
      </c>
      <c r="D183" t="n">
        <v>5</v>
      </c>
      <c r="E183" t="inlineStr">
        <is>
          <t>Kyoryu(Elf) (5)</t>
        </is>
      </c>
    </row>
    <row r="184">
      <c r="A184" t="inlineStr">
        <is>
          <t>W20</t>
        </is>
      </c>
      <c r="B184" t="inlineStr">
        <is>
          <t>Jonard</t>
        </is>
      </c>
      <c r="C184" t="n">
        <v>37</v>
      </c>
      <c r="D184" t="n">
        <v>5</v>
      </c>
      <c r="E184" t="inlineStr">
        <is>
          <t>Perez (4), Power20 33Lv (1)</t>
        </is>
      </c>
    </row>
    <row r="185">
      <c r="A185" t="inlineStr">
        <is>
          <t>W20</t>
        </is>
      </c>
      <c r="B185" t="inlineStr">
        <is>
          <t>Sam</t>
        </is>
      </c>
      <c r="C185" t="n">
        <v>35</v>
      </c>
      <c r="D185" t="n">
        <v>6</v>
      </c>
      <c r="E185" t="inlineStr">
        <is>
          <t>Dalo (2), Pele (2), Kyoryu(Elf) (1), Ronaldo (1)</t>
        </is>
      </c>
    </row>
    <row r="186">
      <c r="A186" t="inlineStr">
        <is>
          <t>W20</t>
        </is>
      </c>
      <c r="B186" t="inlineStr">
        <is>
          <t>Nikko</t>
        </is>
      </c>
      <c r="C186" t="n">
        <v>33</v>
      </c>
      <c r="D186" t="n">
        <v>5</v>
      </c>
      <c r="E186" t="inlineStr">
        <is>
          <t>Ronaldinho (Mania224ss Gmail) (2), Kaisel (1), Rivaldo (1), Eastin (1)</t>
        </is>
      </c>
    </row>
    <row r="187">
      <c r="A187" t="inlineStr">
        <is>
          <t>W20</t>
        </is>
      </c>
      <c r="B187" t="inlineStr">
        <is>
          <t>Mac Arthur</t>
        </is>
      </c>
      <c r="C187" t="n">
        <v>32</v>
      </c>
      <c r="D187" t="n">
        <v>4</v>
      </c>
      <c r="E187" t="inlineStr">
        <is>
          <t>Kyoryu(Elf) (3), Taejo (1)</t>
        </is>
      </c>
    </row>
    <row r="188">
      <c r="A188" t="inlineStr">
        <is>
          <t>W20</t>
        </is>
      </c>
      <c r="B188" t="inlineStr">
        <is>
          <t>Vergel</t>
        </is>
      </c>
      <c r="C188" t="n">
        <v>31</v>
      </c>
      <c r="D188" t="n">
        <v>4</v>
      </c>
      <c r="E188" t="inlineStr">
        <is>
          <t>Dalo (2), Kaisel (1), Ronaldinho (Mania224ss Gmail) (1)</t>
        </is>
      </c>
    </row>
    <row r="189">
      <c r="A189" t="inlineStr">
        <is>
          <t>W20</t>
        </is>
      </c>
      <c r="B189" t="inlineStr">
        <is>
          <t>Christelle</t>
        </is>
      </c>
      <c r="C189" t="n">
        <v>31</v>
      </c>
      <c r="D189" t="n">
        <v>5</v>
      </c>
      <c r="E189" t="inlineStr">
        <is>
          <t>Cheer Captain (Leedy) (4), Ronaldo (1)</t>
        </is>
      </c>
    </row>
    <row r="190">
      <c r="A190" t="inlineStr">
        <is>
          <t>W20</t>
        </is>
      </c>
      <c r="B190" t="inlineStr">
        <is>
          <t>Jay Penilla</t>
        </is>
      </c>
      <c r="C190" t="n">
        <v>30</v>
      </c>
      <c r="D190" t="n">
        <v>4</v>
      </c>
      <c r="E190" t="inlineStr">
        <is>
          <t>Kaisel (4)</t>
        </is>
      </c>
    </row>
    <row r="191">
      <c r="A191" t="inlineStr">
        <is>
          <t>W20</t>
        </is>
      </c>
      <c r="B191" t="inlineStr">
        <is>
          <t>Adrian Torres</t>
        </is>
      </c>
      <c r="C191" t="n">
        <v>30</v>
      </c>
      <c r="D191" t="n">
        <v>4</v>
      </c>
      <c r="E191" t="inlineStr">
        <is>
          <t>Sarim (2), Taejo (1), Marcelo (mania224 Lineage) (1)</t>
        </is>
      </c>
    </row>
    <row r="192">
      <c r="A192" t="inlineStr">
        <is>
          <t>W20</t>
        </is>
      </c>
      <c r="B192" t="inlineStr">
        <is>
          <t>tylo cedric</t>
        </is>
      </c>
      <c r="C192" t="n">
        <v>29</v>
      </c>
      <c r="D192" t="n">
        <v>4</v>
      </c>
      <c r="E192" t="inlineStr">
        <is>
          <t>Sarim (1), Taejo (1), Bing (Linpower40) (1), Gus (1)</t>
        </is>
      </c>
    </row>
    <row r="193">
      <c r="A193" t="inlineStr">
        <is>
          <t>W20</t>
        </is>
      </c>
      <c r="B193" t="inlineStr">
        <is>
          <t>Jefferson</t>
        </is>
      </c>
      <c r="C193" t="n">
        <v>28</v>
      </c>
      <c r="D193" t="n">
        <v>4</v>
      </c>
      <c r="E193" t="inlineStr">
        <is>
          <t>Taejo (2), Kyoryu(Elf) (1), Pele (1)</t>
        </is>
      </c>
    </row>
    <row r="194">
      <c r="A194" t="inlineStr">
        <is>
          <t>W20</t>
        </is>
      </c>
      <c r="B194" t="inlineStr">
        <is>
          <t>Carl Dacion</t>
        </is>
      </c>
      <c r="C194" t="n">
        <v>24</v>
      </c>
      <c r="D194" t="n">
        <v>4</v>
      </c>
      <c r="E194" t="inlineStr">
        <is>
          <t>Perez (1), Taejo (1), Ronaldinho (Mania224ss Gmail) (1), Eastin (1)</t>
        </is>
      </c>
    </row>
    <row r="195">
      <c r="A195" t="inlineStr">
        <is>
          <t>W20</t>
        </is>
      </c>
      <c r="B195" t="inlineStr">
        <is>
          <t>Ranier</t>
        </is>
      </c>
      <c r="C195" t="n">
        <v>22</v>
      </c>
      <c r="D195" t="n">
        <v>3</v>
      </c>
      <c r="E195" t="inlineStr">
        <is>
          <t>Sarim (1), Taejo (1), Bing (Linpower40) (1)</t>
        </is>
      </c>
    </row>
    <row r="196">
      <c r="A196" t="inlineStr">
        <is>
          <t>W20</t>
        </is>
      </c>
      <c r="B196" t="inlineStr">
        <is>
          <t>Raul</t>
        </is>
      </c>
      <c r="C196" t="n">
        <v>18</v>
      </c>
      <c r="D196" t="n">
        <v>4</v>
      </c>
      <c r="E196" t="inlineStr">
        <is>
          <t>Kyoryu(Elf) (2), Kaisel (1), Ronaldinho (Mania224ss Gmail) (1)</t>
        </is>
      </c>
    </row>
    <row r="197">
      <c r="A197" t="inlineStr">
        <is>
          <t>W20</t>
        </is>
      </c>
      <c r="B197" t="inlineStr">
        <is>
          <t>John Larry Traine</t>
        </is>
      </c>
      <c r="C197" t="n">
        <v>16</v>
      </c>
      <c r="D197" t="n">
        <v>2</v>
      </c>
      <c r="E197" t="inlineStr">
        <is>
          <t>Kyoryu(Elf) (1), Rivaldo (1)</t>
        </is>
      </c>
    </row>
    <row r="198">
      <c r="A198" t="inlineStr">
        <is>
          <t>W20</t>
        </is>
      </c>
      <c r="B198" t="inlineStr">
        <is>
          <t>Roderick</t>
        </is>
      </c>
      <c r="C198" t="n">
        <v>16</v>
      </c>
      <c r="D198" t="n">
        <v>2</v>
      </c>
      <c r="E198" t="inlineStr">
        <is>
          <t>Perez (1), Ronaldinho (Mania224ss Gmail) (1)</t>
        </is>
      </c>
    </row>
    <row r="199">
      <c r="A199" t="inlineStr">
        <is>
          <t>W20</t>
        </is>
      </c>
      <c r="B199" t="inlineStr">
        <is>
          <t>Andaya</t>
        </is>
      </c>
      <c r="C199" t="n">
        <v>16</v>
      </c>
      <c r="D199" t="n">
        <v>2</v>
      </c>
      <c r="E199" t="inlineStr">
        <is>
          <t>Perez (1), Ronaldinho (Mania224ss Gmail) (1)</t>
        </is>
      </c>
    </row>
    <row r="200">
      <c r="A200" t="inlineStr">
        <is>
          <t>W20</t>
        </is>
      </c>
      <c r="B200" t="inlineStr">
        <is>
          <t>Raymond Trainee</t>
        </is>
      </c>
      <c r="C200" t="n">
        <v>16</v>
      </c>
      <c r="D200" t="n">
        <v>2</v>
      </c>
      <c r="E200" t="inlineStr">
        <is>
          <t>Sarim (1), Cheer Captain (Leedy) (1)</t>
        </is>
      </c>
    </row>
    <row r="201">
      <c r="A201" t="inlineStr">
        <is>
          <t>W20</t>
        </is>
      </c>
      <c r="B201" t="inlineStr">
        <is>
          <t>John Larry Trainee</t>
        </is>
      </c>
      <c r="C201" t="n">
        <v>8</v>
      </c>
      <c r="D201" t="n">
        <v>1</v>
      </c>
      <c r="E201" t="inlineStr">
        <is>
          <t>Ronaldinho (Mania224ss Gmail) (1)</t>
        </is>
      </c>
    </row>
    <row r="202">
      <c r="A202" t="inlineStr">
        <is>
          <t>W20</t>
        </is>
      </c>
      <c r="B202" t="inlineStr">
        <is>
          <t>TL-John</t>
        </is>
      </c>
      <c r="C202" t="n">
        <v>4</v>
      </c>
      <c r="D202" t="n">
        <v>1</v>
      </c>
      <c r="E202" t="inlineStr">
        <is>
          <t>Ronaldo (1)</t>
        </is>
      </c>
    </row>
    <row r="203">
      <c r="A203" t="inlineStr">
        <is>
          <t>W20</t>
        </is>
      </c>
      <c r="B203" t="inlineStr">
        <is>
          <t>Orven Trainee</t>
        </is>
      </c>
      <c r="C203" t="n">
        <v>8</v>
      </c>
      <c r="D203" t="n">
        <v>1</v>
      </c>
      <c r="E203" t="inlineStr">
        <is>
          <t>Ronaldo (1)</t>
        </is>
      </c>
    </row>
    <row r="204">
      <c r="A204" t="inlineStr">
        <is>
          <t>W20</t>
        </is>
      </c>
      <c r="B204" t="inlineStr">
        <is>
          <t>TL Alyssa</t>
        </is>
      </c>
      <c r="C204" t="n">
        <v>5</v>
      </c>
      <c r="D204" t="n">
        <v>1</v>
      </c>
      <c r="E204" t="inlineStr">
        <is>
          <t>Gus (1)</t>
        </is>
      </c>
    </row>
    <row r="205">
      <c r="A205" t="inlineStr">
        <is>
          <t>W20</t>
        </is>
      </c>
      <c r="B205" t="inlineStr">
        <is>
          <t>TL-Alyssa</t>
        </is>
      </c>
      <c r="C205" t="n">
        <v>3.5</v>
      </c>
      <c r="D205" t="n">
        <v>1</v>
      </c>
      <c r="E205" t="inlineStr">
        <is>
          <t>Ronaldinho (Mania224ss Gmail) (1)</t>
        </is>
      </c>
    </row>
    <row r="206">
      <c r="A206" t="inlineStr">
        <is>
          <t>W20</t>
        </is>
      </c>
      <c r="B206" t="inlineStr">
        <is>
          <t>TL - Alyssa</t>
        </is>
      </c>
      <c r="C206" t="n">
        <v>2</v>
      </c>
      <c r="D206" t="n">
        <v>1</v>
      </c>
      <c r="E206" t="inlineStr">
        <is>
          <t>Eastin (1)</t>
        </is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Date</t>
        </is>
      </c>
      <c r="B1" s="4" t="inlineStr">
        <is>
          <t>Staff</t>
        </is>
      </c>
      <c r="C1" s="4" t="inlineStr">
        <is>
          <t>Role</t>
        </is>
      </c>
      <c r="D1" s="4" t="inlineStr">
        <is>
          <t>Account</t>
        </is>
      </c>
      <c r="E1" s="4" t="inlineStr">
        <is>
          <t>Slot</t>
        </is>
      </c>
      <c r="F1" s="4" t="inlineStr">
        <is>
          <t>Scheduled Time</t>
        </is>
      </c>
      <c r="G1" s="4" t="inlineStr">
        <is>
          <t>OT Time</t>
        </is>
      </c>
      <c r="H1" s="4" t="inlineStr">
        <is>
          <t>OT Hours</t>
        </is>
      </c>
      <c r="I1" s="4" t="inlineStr">
        <is>
          <t>Reason</t>
        </is>
      </c>
      <c r="J1" s="4" t="inlineStr">
        <is>
          <t>Manager</t>
        </is>
      </c>
      <c r="K1" s="4" t="inlineStr">
        <is>
          <t>Logged At</t>
        </is>
      </c>
      <c r="L1" s="4" t="inlineStr">
        <is>
          <t>Source</t>
        </is>
      </c>
      <c r="M1" s="11" t="inlineStr">
        <is>
          <t>Week</t>
        </is>
      </c>
      <c r="N1" s="11" t="inlineStr">
        <is>
          <t>Pay Week</t>
        </is>
      </c>
    </row>
    <row r="2">
      <c r="A2" t="inlineStr">
        <is>
          <t>2026-05-10</t>
        </is>
      </c>
      <c r="B2" t="inlineStr">
        <is>
          <t>Alyssa</t>
        </is>
      </c>
      <c r="C2" t="inlineStr">
        <is>
          <t>TL</t>
        </is>
      </c>
      <c r="F2" t="inlineStr">
        <is>
          <t>OFF</t>
        </is>
      </c>
      <c r="G2" t="inlineStr">
        <is>
          <t>4pm-8pm</t>
        </is>
      </c>
      <c r="H2" t="n">
        <v>4</v>
      </c>
      <c r="L2" t="inlineStr">
        <is>
          <t>migrated:TargetWeek20</t>
        </is>
      </c>
      <c r="M2">
        <f>ARRAYFORMULA(IF(A2:A50000="",,TEXT(IF(ISNUMBER(A2:A50000),A2:A50000,IFERROR(DATEVALUE(A2:A50000)))-WEEKDAY(IF(ISNUMBER(A2:A50000),A2:A50000,IFERROR(DATEVALUE(A2:A50000))))+1,"yyyy-mm-dd")))</f>
        <v/>
      </c>
      <c r="N2">
        <f>ARRAYFORMULA(IF(A2:A50000="",,TEXT(IF(ISNUMBER(A2:A50000),A2:A50000,IFERROR(DATEVALUE(A2:A50000)))-WEEKDAY(IF(ISNUMBER(A2:A50000),A2:A50000,IFERROR(DATEVALUE(A2:A50000))),3),"yyyy-mm-dd")))</f>
        <v/>
      </c>
    </row>
    <row r="3">
      <c r="A3" t="inlineStr">
        <is>
          <t>2026-05-10</t>
        </is>
      </c>
      <c r="B3" t="inlineStr">
        <is>
          <t>John Manuel</t>
        </is>
      </c>
      <c r="C3" t="inlineStr">
        <is>
          <t>TL</t>
        </is>
      </c>
      <c r="F3" t="inlineStr">
        <is>
          <t>12am-8am</t>
        </is>
      </c>
      <c r="H3" t="n">
        <v>12</v>
      </c>
      <c r="L3" t="inlineStr">
        <is>
          <t>migrated:TargetWeek20</t>
        </is>
      </c>
    </row>
    <row r="4">
      <c r="A4" t="inlineStr">
        <is>
          <t>2026-05-10</t>
        </is>
      </c>
      <c r="B4" t="inlineStr">
        <is>
          <t>Micko Tanedo</t>
        </is>
      </c>
      <c r="C4" t="inlineStr">
        <is>
          <t>TL</t>
        </is>
      </c>
      <c r="F4" t="inlineStr">
        <is>
          <t>OFF</t>
        </is>
      </c>
      <c r="H4" t="n">
        <v>8</v>
      </c>
      <c r="L4" t="inlineStr">
        <is>
          <t>migrated:TargetWeek20</t>
        </is>
      </c>
    </row>
    <row r="5">
      <c r="A5" t="inlineStr">
        <is>
          <t>2026-05-11</t>
        </is>
      </c>
      <c r="B5" t="inlineStr">
        <is>
          <t>Alyssa</t>
        </is>
      </c>
      <c r="C5" t="inlineStr">
        <is>
          <t>TL</t>
        </is>
      </c>
      <c r="F5" t="inlineStr">
        <is>
          <t>4pm-12am</t>
        </is>
      </c>
      <c r="H5" t="n">
        <v>3</v>
      </c>
      <c r="L5" t="inlineStr">
        <is>
          <t>migrated:TargetWeek20</t>
        </is>
      </c>
    </row>
    <row r="6">
      <c r="A6" t="inlineStr">
        <is>
          <t>2026-05-11</t>
        </is>
      </c>
      <c r="B6" t="inlineStr">
        <is>
          <t>John Manuel</t>
        </is>
      </c>
      <c r="C6" t="inlineStr">
        <is>
          <t>TL</t>
        </is>
      </c>
      <c r="F6" t="inlineStr">
        <is>
          <t>12am-8am</t>
        </is>
      </c>
      <c r="H6" t="n">
        <v>10</v>
      </c>
      <c r="L6" t="inlineStr">
        <is>
          <t>migrated:TargetWeek20</t>
        </is>
      </c>
    </row>
    <row r="7">
      <c r="A7" t="inlineStr">
        <is>
          <t>2026-05-11</t>
        </is>
      </c>
      <c r="B7" t="inlineStr">
        <is>
          <t>Micko Tanedo</t>
        </is>
      </c>
      <c r="C7" t="inlineStr">
        <is>
          <t>TL</t>
        </is>
      </c>
      <c r="F7" t="inlineStr">
        <is>
          <t>8am-4pm</t>
        </is>
      </c>
      <c r="H7" t="n">
        <v>8</v>
      </c>
      <c r="L7" t="inlineStr">
        <is>
          <t>migrated:TargetWeek20</t>
        </is>
      </c>
    </row>
    <row r="8">
      <c r="A8" t="inlineStr">
        <is>
          <t>2026-05-12</t>
        </is>
      </c>
      <c r="B8" t="inlineStr">
        <is>
          <t>Alyssa</t>
        </is>
      </c>
      <c r="C8" t="inlineStr">
        <is>
          <t>TL</t>
        </is>
      </c>
      <c r="F8" t="inlineStr">
        <is>
          <t>3pm-10pm</t>
        </is>
      </c>
      <c r="G8" t="inlineStr">
        <is>
          <t>11pm-4am</t>
        </is>
      </c>
      <c r="I8" t="inlineStr">
        <is>
          <t>OFF</t>
        </is>
      </c>
      <c r="L8" t="inlineStr">
        <is>
          <t>migrated:TargetWeek20</t>
        </is>
      </c>
    </row>
    <row r="9">
      <c r="A9" t="inlineStr">
        <is>
          <t>2026-05-12</t>
        </is>
      </c>
      <c r="B9" t="inlineStr">
        <is>
          <t>Micko Tanedo</t>
        </is>
      </c>
      <c r="C9" t="inlineStr">
        <is>
          <t>TL</t>
        </is>
      </c>
      <c r="F9" t="inlineStr">
        <is>
          <t>8am-4pm</t>
        </is>
      </c>
      <c r="H9" t="n">
        <v>8</v>
      </c>
      <c r="L9" t="inlineStr">
        <is>
          <t>migrated:TargetWeek20</t>
        </is>
      </c>
    </row>
    <row r="10">
      <c r="A10" t="inlineStr">
        <is>
          <t>2026-05-13</t>
        </is>
      </c>
      <c r="B10" t="inlineStr">
        <is>
          <t>Alyssa</t>
        </is>
      </c>
      <c r="C10" t="inlineStr">
        <is>
          <t>TL</t>
        </is>
      </c>
      <c r="F10" t="inlineStr">
        <is>
          <t>OFF</t>
        </is>
      </c>
      <c r="G10" t="inlineStr">
        <is>
          <t>8pm-12am</t>
        </is>
      </c>
      <c r="H10" t="n">
        <v>4</v>
      </c>
      <c r="L10" t="inlineStr">
        <is>
          <t>migrated:TargetWeek20</t>
        </is>
      </c>
    </row>
    <row r="11">
      <c r="A11" t="inlineStr">
        <is>
          <t>2026-05-13</t>
        </is>
      </c>
      <c r="B11" t="inlineStr">
        <is>
          <t>John Manuel</t>
        </is>
      </c>
      <c r="C11" t="inlineStr">
        <is>
          <t>TL</t>
        </is>
      </c>
      <c r="F11" t="inlineStr">
        <is>
          <t>OFF</t>
        </is>
      </c>
      <c r="G11" t="inlineStr">
        <is>
          <t>12am-4am</t>
        </is>
      </c>
      <c r="H11" t="n">
        <v>12</v>
      </c>
      <c r="L11" t="inlineStr">
        <is>
          <t>migrated:TargetWeek20</t>
        </is>
      </c>
    </row>
    <row r="12">
      <c r="A12" t="inlineStr">
        <is>
          <t>2026-05-13</t>
        </is>
      </c>
      <c r="B12" t="inlineStr">
        <is>
          <t>Micko Tanedo</t>
        </is>
      </c>
      <c r="C12" t="inlineStr">
        <is>
          <t>TL</t>
        </is>
      </c>
      <c r="F12" t="inlineStr">
        <is>
          <t>8am-4pm</t>
        </is>
      </c>
      <c r="H12" t="n">
        <v>8</v>
      </c>
      <c r="L12" t="inlineStr">
        <is>
          <t>migrated:TargetWeek20</t>
        </is>
      </c>
    </row>
    <row r="13">
      <c r="A13" t="inlineStr">
        <is>
          <t>2026-05-14</t>
        </is>
      </c>
      <c r="B13" t="inlineStr">
        <is>
          <t>Alyssa</t>
        </is>
      </c>
      <c r="C13" t="inlineStr">
        <is>
          <t>TL</t>
        </is>
      </c>
      <c r="F13" t="inlineStr">
        <is>
          <t>4pm-12am</t>
        </is>
      </c>
      <c r="G13" t="inlineStr">
        <is>
          <t>6am-8am</t>
        </is>
      </c>
      <c r="H13" t="n">
        <v>4</v>
      </c>
      <c r="L13" t="inlineStr">
        <is>
          <t>migrated:TargetWeek20</t>
        </is>
      </c>
    </row>
    <row r="14">
      <c r="A14" t="inlineStr">
        <is>
          <t>2026-05-14</t>
        </is>
      </c>
      <c r="B14" t="inlineStr">
        <is>
          <t>John Manuel</t>
        </is>
      </c>
      <c r="C14" t="inlineStr">
        <is>
          <t>TL</t>
        </is>
      </c>
      <c r="F14" t="inlineStr">
        <is>
          <t>12am-8am</t>
        </is>
      </c>
      <c r="H14" t="n">
        <v>12</v>
      </c>
      <c r="L14" t="inlineStr">
        <is>
          <t>migrated:TargetWeek20</t>
        </is>
      </c>
    </row>
    <row r="15">
      <c r="A15" t="inlineStr">
        <is>
          <t>2026-05-14</t>
        </is>
      </c>
      <c r="B15" t="inlineStr">
        <is>
          <t>Micko Tanedo</t>
        </is>
      </c>
      <c r="C15" t="inlineStr">
        <is>
          <t>TL</t>
        </is>
      </c>
      <c r="F15" t="inlineStr">
        <is>
          <t>8am-4pm</t>
        </is>
      </c>
      <c r="H15" t="n">
        <v>8</v>
      </c>
      <c r="L15" t="inlineStr">
        <is>
          <t>migrated:TargetWeek20</t>
        </is>
      </c>
    </row>
    <row r="16">
      <c r="A16" t="inlineStr">
        <is>
          <t>2026-05-15</t>
        </is>
      </c>
      <c r="B16" t="inlineStr">
        <is>
          <t>Alyssa</t>
        </is>
      </c>
      <c r="C16" t="inlineStr">
        <is>
          <t>TL</t>
        </is>
      </c>
      <c r="F16" t="inlineStr">
        <is>
          <t>4pm-12am</t>
        </is>
      </c>
      <c r="G16" t="inlineStr">
        <is>
          <t>4:30am-8am</t>
        </is>
      </c>
      <c r="H16" t="n">
        <v>4</v>
      </c>
      <c r="L16" t="inlineStr">
        <is>
          <t>migrated:TargetWeek20</t>
        </is>
      </c>
    </row>
    <row r="17">
      <c r="A17" t="inlineStr">
        <is>
          <t>2026-05-16</t>
        </is>
      </c>
      <c r="B17" t="inlineStr">
        <is>
          <t>John Manuel</t>
        </is>
      </c>
      <c r="C17" t="inlineStr">
        <is>
          <t>TL</t>
        </is>
      </c>
      <c r="F17" t="inlineStr">
        <is>
          <t>OFF</t>
        </is>
      </c>
      <c r="G17" t="inlineStr">
        <is>
          <t>12am-5am</t>
        </is>
      </c>
      <c r="L17" t="inlineStr">
        <is>
          <t>migrated:TargetWeek20</t>
        </is>
      </c>
    </row>
    <row r="18">
      <c r="A18" t="inlineStr">
        <is>
          <t>2026-05-16</t>
        </is>
      </c>
      <c r="B18" t="inlineStr">
        <is>
          <t>Micko Tanedo</t>
        </is>
      </c>
      <c r="C18" t="inlineStr">
        <is>
          <t>TL</t>
        </is>
      </c>
      <c r="F18" t="inlineStr">
        <is>
          <t>Cancel OFF</t>
        </is>
      </c>
      <c r="G18" t="inlineStr">
        <is>
          <t>Present</t>
        </is>
      </c>
      <c r="L18" t="inlineStr">
        <is>
          <t>migrated:TargetWeek20</t>
        </is>
      </c>
    </row>
    <row r="19">
      <c r="A19" t="inlineStr">
        <is>
          <t>2026-05-17</t>
        </is>
      </c>
      <c r="B19" t="inlineStr">
        <is>
          <t>Alyssa</t>
        </is>
      </c>
      <c r="C19" t="inlineStr">
        <is>
          <t>TL</t>
        </is>
      </c>
      <c r="F19" t="inlineStr">
        <is>
          <t>OFF</t>
        </is>
      </c>
      <c r="G19" t="inlineStr">
        <is>
          <t>4pm-6pm</t>
        </is>
      </c>
      <c r="H19" t="n">
        <v>2</v>
      </c>
      <c r="L19" t="inlineStr">
        <is>
          <t>migrated:TargetWeek21</t>
        </is>
      </c>
    </row>
    <row r="20">
      <c r="A20" t="inlineStr">
        <is>
          <t>2026-05-20</t>
        </is>
      </c>
      <c r="B20" t="inlineStr">
        <is>
          <t>Alyssa</t>
        </is>
      </c>
      <c r="C20" t="inlineStr">
        <is>
          <t>TL</t>
        </is>
      </c>
      <c r="F20" t="inlineStr">
        <is>
          <t>OFF</t>
        </is>
      </c>
      <c r="G20" t="inlineStr">
        <is>
          <t>9pm-12pm</t>
        </is>
      </c>
      <c r="H20" t="n">
        <v>3</v>
      </c>
      <c r="L20" t="inlineStr">
        <is>
          <t>migrated:TargetWeek21</t>
        </is>
      </c>
    </row>
    <row r="21">
      <c r="A21" t="inlineStr">
        <is>
          <t>2026-05-21</t>
        </is>
      </c>
      <c r="B21" t="inlineStr">
        <is>
          <t>John Manuel</t>
        </is>
      </c>
      <c r="C21" t="inlineStr">
        <is>
          <t>TL</t>
        </is>
      </c>
      <c r="F21" t="inlineStr">
        <is>
          <t>12am-8am</t>
        </is>
      </c>
      <c r="G21" t="inlineStr">
        <is>
          <t>5pm-8pm</t>
        </is>
      </c>
      <c r="H21" t="n">
        <v>3</v>
      </c>
      <c r="L21" t="inlineStr">
        <is>
          <t>migrated:TargetWeek21</t>
        </is>
      </c>
    </row>
    <row r="22">
      <c r="A22" t="inlineStr">
        <is>
          <t>2026-05-22</t>
        </is>
      </c>
      <c r="B22" t="inlineStr">
        <is>
          <t>Alyssa</t>
        </is>
      </c>
      <c r="C22" t="inlineStr">
        <is>
          <t>TL</t>
        </is>
      </c>
      <c r="F22" t="inlineStr">
        <is>
          <t>4pm-12am</t>
        </is>
      </c>
      <c r="G22" t="inlineStr">
        <is>
          <t>2 hours</t>
        </is>
      </c>
      <c r="H22" t="n">
        <v>4</v>
      </c>
      <c r="L22" t="inlineStr">
        <is>
          <t>migrated:TargetWeek21</t>
        </is>
      </c>
    </row>
    <row r="23">
      <c r="A23" t="inlineStr">
        <is>
          <t>2026-05-22</t>
        </is>
      </c>
      <c r="B23" t="inlineStr">
        <is>
          <t>John Manuel</t>
        </is>
      </c>
      <c r="C23" t="inlineStr">
        <is>
          <t>TL</t>
        </is>
      </c>
      <c r="F23" t="inlineStr">
        <is>
          <t>12am-8am</t>
        </is>
      </c>
      <c r="G23" t="inlineStr">
        <is>
          <t>3 hours</t>
        </is>
      </c>
      <c r="I23" t="inlineStr">
        <is>
          <t>CANCEL OFF</t>
        </is>
      </c>
      <c r="L23" t="inlineStr">
        <is>
          <t>migrated:TargetWeek21</t>
        </is>
      </c>
    </row>
    <row r="24">
      <c r="A24" t="inlineStr">
        <is>
          <t>2026-05-22</t>
        </is>
      </c>
      <c r="B24" t="inlineStr">
        <is>
          <t>Micko Tanedo</t>
        </is>
      </c>
      <c r="C24" t="inlineStr">
        <is>
          <t>TL</t>
        </is>
      </c>
      <c r="F24" t="inlineStr">
        <is>
          <t>8am-4pm</t>
        </is>
      </c>
      <c r="G24" t="inlineStr">
        <is>
          <t>5 hours</t>
        </is>
      </c>
      <c r="H24" t="n">
        <v>8</v>
      </c>
      <c r="L24" t="inlineStr">
        <is>
          <t>migrated:TargetWeek21</t>
        </is>
      </c>
    </row>
    <row r="25">
      <c r="A25" t="inlineStr">
        <is>
          <t>2026-05-23</t>
        </is>
      </c>
      <c r="B25" t="inlineStr">
        <is>
          <t>Micko Tanedo</t>
        </is>
      </c>
      <c r="C25" t="inlineStr">
        <is>
          <t>TL</t>
        </is>
      </c>
      <c r="F25" t="inlineStr">
        <is>
          <t>8am-4pm</t>
        </is>
      </c>
      <c r="G25" t="inlineStr">
        <is>
          <t>2 Hours</t>
        </is>
      </c>
      <c r="L25" t="inlineStr">
        <is>
          <t>migrated:TargetWeek21</t>
        </is>
      </c>
    </row>
    <row r="26">
      <c r="A26" t="inlineStr">
        <is>
          <t>2026-05-24</t>
        </is>
      </c>
      <c r="B26" t="inlineStr">
        <is>
          <t>Alyssa</t>
        </is>
      </c>
      <c r="C26" t="inlineStr">
        <is>
          <t>TL</t>
        </is>
      </c>
      <c r="F26" t="inlineStr">
        <is>
          <t>OFF</t>
        </is>
      </c>
      <c r="G26" t="inlineStr">
        <is>
          <t>4 hrs</t>
        </is>
      </c>
      <c r="H26" t="n">
        <v>4</v>
      </c>
      <c r="L26" t="inlineStr">
        <is>
          <t>migrated:TargetWeek22</t>
        </is>
      </c>
    </row>
    <row r="27">
      <c r="A27" t="inlineStr">
        <is>
          <t>2026-05-24</t>
        </is>
      </c>
      <c r="B27" t="inlineStr">
        <is>
          <t>John Manuel</t>
        </is>
      </c>
      <c r="C27" t="inlineStr">
        <is>
          <t>TL</t>
        </is>
      </c>
      <c r="F27" t="inlineStr">
        <is>
          <t>12am-8am</t>
        </is>
      </c>
      <c r="H27" t="n">
        <v>12</v>
      </c>
      <c r="L27" t="inlineStr">
        <is>
          <t>migrated:TargetWeek22</t>
        </is>
      </c>
    </row>
    <row r="28">
      <c r="A28" t="inlineStr">
        <is>
          <t>2026-05-24</t>
        </is>
      </c>
      <c r="B28" t="inlineStr">
        <is>
          <t>Micko Tanedo</t>
        </is>
      </c>
      <c r="C28" t="inlineStr">
        <is>
          <t>TL</t>
        </is>
      </c>
      <c r="F28" t="inlineStr">
        <is>
          <t>OFF</t>
        </is>
      </c>
      <c r="G28" t="inlineStr">
        <is>
          <t>6 hrs</t>
        </is>
      </c>
      <c r="H28" t="n">
        <v>8</v>
      </c>
      <c r="L28" t="inlineStr">
        <is>
          <t>migrated:TargetWeek22</t>
        </is>
      </c>
    </row>
    <row r="29">
      <c r="A29" t="inlineStr">
        <is>
          <t>2026-05-25</t>
        </is>
      </c>
      <c r="B29" t="inlineStr">
        <is>
          <t>Alyssa</t>
        </is>
      </c>
      <c r="C29" t="inlineStr">
        <is>
          <t>TL</t>
        </is>
      </c>
      <c r="F29" t="inlineStr">
        <is>
          <t>4pm-12am</t>
        </is>
      </c>
      <c r="H29" t="n">
        <v>3</v>
      </c>
      <c r="L29" t="inlineStr">
        <is>
          <t>migrated:TargetWeek22</t>
        </is>
      </c>
    </row>
    <row r="30">
      <c r="A30" t="inlineStr">
        <is>
          <t>2026-05-25</t>
        </is>
      </c>
      <c r="B30" t="inlineStr">
        <is>
          <t>John Manuel</t>
        </is>
      </c>
      <c r="C30" t="inlineStr">
        <is>
          <t>TL</t>
        </is>
      </c>
      <c r="F30" t="inlineStr">
        <is>
          <t>12am-8am</t>
        </is>
      </c>
      <c r="H30" t="n">
        <v>10</v>
      </c>
      <c r="L30" t="inlineStr">
        <is>
          <t>migrated:TargetWeek22</t>
        </is>
      </c>
    </row>
    <row r="31">
      <c r="A31" t="inlineStr">
        <is>
          <t>2026-05-25</t>
        </is>
      </c>
      <c r="B31" t="inlineStr">
        <is>
          <t>Micko Tanedo</t>
        </is>
      </c>
      <c r="C31" t="inlineStr">
        <is>
          <t>TL</t>
        </is>
      </c>
      <c r="F31" t="inlineStr">
        <is>
          <t>8am-4pm</t>
        </is>
      </c>
      <c r="G31" t="inlineStr">
        <is>
          <t>3 hrs</t>
        </is>
      </c>
      <c r="H31" t="n">
        <v>8</v>
      </c>
      <c r="L31" t="inlineStr">
        <is>
          <t>migrated:TargetWeek22</t>
        </is>
      </c>
    </row>
    <row r="32">
      <c r="A32" t="inlineStr">
        <is>
          <t>2026-05-26</t>
        </is>
      </c>
      <c r="B32" t="inlineStr">
        <is>
          <t>John Manuel</t>
        </is>
      </c>
      <c r="C32" t="inlineStr">
        <is>
          <t>TL</t>
        </is>
      </c>
      <c r="F32" t="inlineStr">
        <is>
          <t>10pm-4am</t>
        </is>
      </c>
      <c r="G32" t="inlineStr">
        <is>
          <t>4:30pm-10pm</t>
        </is>
      </c>
      <c r="H32" t="n">
        <v>5.5</v>
      </c>
      <c r="L32" t="inlineStr">
        <is>
          <t>migrated:TargetWeek22</t>
        </is>
      </c>
    </row>
    <row r="33">
      <c r="A33" t="inlineStr">
        <is>
          <t>2026-05-27</t>
        </is>
      </c>
      <c r="B33" t="inlineStr">
        <is>
          <t>Alyssa</t>
        </is>
      </c>
      <c r="C33" t="inlineStr">
        <is>
          <t>TL</t>
        </is>
      </c>
      <c r="F33" t="inlineStr">
        <is>
          <t>OFF</t>
        </is>
      </c>
      <c r="G33" t="inlineStr">
        <is>
          <t>4pm-5:00pm</t>
        </is>
      </c>
      <c r="H33" t="n">
        <v>1</v>
      </c>
      <c r="L33" t="inlineStr">
        <is>
          <t>migrated:TargetWeek22</t>
        </is>
      </c>
    </row>
    <row r="34">
      <c r="A34" t="inlineStr">
        <is>
          <t>2026-05-27</t>
        </is>
      </c>
      <c r="B34" t="inlineStr">
        <is>
          <t>John Manuel</t>
        </is>
      </c>
      <c r="C34" t="inlineStr">
        <is>
          <t>TL</t>
        </is>
      </c>
      <c r="F34" t="inlineStr">
        <is>
          <t>Cancel OFF</t>
        </is>
      </c>
      <c r="G34" t="inlineStr">
        <is>
          <t>8PM-9:30PM</t>
        </is>
      </c>
      <c r="H34" t="n">
        <v>1.5</v>
      </c>
      <c r="L34" t="inlineStr">
        <is>
          <t>migrated:TargetWeek22</t>
        </is>
      </c>
    </row>
    <row r="35">
      <c r="A35" t="inlineStr">
        <is>
          <t>2026-05-27</t>
        </is>
      </c>
      <c r="B35" t="inlineStr">
        <is>
          <t>Micko Tanedo</t>
        </is>
      </c>
      <c r="C35" t="inlineStr">
        <is>
          <t>TL</t>
        </is>
      </c>
      <c r="F35" t="inlineStr">
        <is>
          <t>8am-4pm</t>
        </is>
      </c>
      <c r="G35" t="inlineStr">
        <is>
          <t>6:30pm-9:00pm</t>
        </is>
      </c>
      <c r="H35" t="n">
        <v>2.5</v>
      </c>
      <c r="L35" t="inlineStr">
        <is>
          <t>migrated:TargetWeek22</t>
        </is>
      </c>
    </row>
    <row r="36">
      <c r="A36" t="inlineStr">
        <is>
          <t>2026-05-28</t>
        </is>
      </c>
      <c r="B36" t="inlineStr">
        <is>
          <t>John Manuel</t>
        </is>
      </c>
      <c r="C36" t="inlineStr">
        <is>
          <t>TL</t>
        </is>
      </c>
      <c r="F36" t="inlineStr">
        <is>
          <t>12am-8am</t>
        </is>
      </c>
      <c r="G36" t="inlineStr">
        <is>
          <t>8am-9am</t>
        </is>
      </c>
      <c r="H36" t="n">
        <v>1</v>
      </c>
      <c r="L36" t="inlineStr">
        <is>
          <t>migrated:TargetWeek22</t>
        </is>
      </c>
    </row>
    <row r="37">
      <c r="A37" t="inlineStr">
        <is>
          <t>2026-05-29</t>
        </is>
      </c>
      <c r="B37" t="inlineStr">
        <is>
          <t>Alyssa</t>
        </is>
      </c>
      <c r="C37" t="inlineStr">
        <is>
          <t>TL</t>
        </is>
      </c>
      <c r="F37" t="inlineStr">
        <is>
          <t>4pm-12am</t>
        </is>
      </c>
      <c r="H37" t="n">
        <v>4</v>
      </c>
      <c r="L37" t="inlineStr">
        <is>
          <t>migrated:TargetWeek22</t>
        </is>
      </c>
    </row>
    <row r="38">
      <c r="A38" t="inlineStr">
        <is>
          <t>2026-05-29</t>
        </is>
      </c>
      <c r="B38" t="inlineStr">
        <is>
          <t>Micko Tanedo</t>
        </is>
      </c>
      <c r="C38" t="inlineStr">
        <is>
          <t>TL</t>
        </is>
      </c>
      <c r="F38" t="inlineStr">
        <is>
          <t>OFF</t>
        </is>
      </c>
      <c r="H38" t="n">
        <v>8</v>
      </c>
      <c r="L38" t="inlineStr">
        <is>
          <t>migrated:TargetWeek22</t>
        </is>
      </c>
    </row>
    <row r="39">
      <c r="A39" t="inlineStr">
        <is>
          <t>2026-05-31</t>
        </is>
      </c>
      <c r="B39" t="inlineStr">
        <is>
          <t>Micko Tanedo</t>
        </is>
      </c>
      <c r="C39" t="inlineStr">
        <is>
          <t>TL</t>
        </is>
      </c>
      <c r="F39" t="inlineStr">
        <is>
          <t>OFF</t>
        </is>
      </c>
      <c r="H39" t="n">
        <v>4</v>
      </c>
      <c r="L39" t="inlineStr">
        <is>
          <t>migrated:TargetWeek23</t>
        </is>
      </c>
    </row>
    <row r="40">
      <c r="A40" t="inlineStr">
        <is>
          <t>2026-06-01</t>
        </is>
      </c>
      <c r="B40" t="inlineStr">
        <is>
          <t>Alyssa</t>
        </is>
      </c>
      <c r="C40" t="inlineStr">
        <is>
          <t>TL</t>
        </is>
      </c>
      <c r="F40" t="inlineStr">
        <is>
          <t>OFF</t>
        </is>
      </c>
      <c r="G40" t="inlineStr">
        <is>
          <t>4pm-7pm</t>
        </is>
      </c>
      <c r="H40" t="n">
        <v>3</v>
      </c>
      <c r="L40" t="inlineStr">
        <is>
          <t>migrated:TargetWeek23</t>
        </is>
      </c>
    </row>
    <row r="41">
      <c r="A41" t="inlineStr">
        <is>
          <t>2026-06-03</t>
        </is>
      </c>
      <c r="B41" t="inlineStr">
        <is>
          <t>Alyssa</t>
        </is>
      </c>
      <c r="C41" t="inlineStr">
        <is>
          <t>TL</t>
        </is>
      </c>
      <c r="F41" t="inlineStr">
        <is>
          <t>3pm-10pm</t>
        </is>
      </c>
      <c r="G41" t="inlineStr">
        <is>
          <t>8:30am-2pm</t>
        </is>
      </c>
      <c r="H41" t="n">
        <v>5.5</v>
      </c>
      <c r="L41" t="inlineStr">
        <is>
          <t>migrated:TargetWeek23</t>
        </is>
      </c>
    </row>
    <row r="42">
      <c r="A42" t="inlineStr">
        <is>
          <t>2026-06-03</t>
        </is>
      </c>
      <c r="B42" t="inlineStr">
        <is>
          <t>John Manuel</t>
        </is>
      </c>
      <c r="C42" t="inlineStr">
        <is>
          <t>TL</t>
        </is>
      </c>
      <c r="F42" t="inlineStr">
        <is>
          <t>10pm-4am</t>
        </is>
      </c>
      <c r="G42" t="inlineStr">
        <is>
          <t>8:30am-2pm</t>
        </is>
      </c>
      <c r="H42" t="n">
        <v>5.5</v>
      </c>
      <c r="L42" t="inlineStr">
        <is>
          <t>migrated:TargetWeek23</t>
        </is>
      </c>
    </row>
    <row r="43">
      <c r="A43" t="inlineStr">
        <is>
          <t>2026-06-05</t>
        </is>
      </c>
      <c r="B43" t="inlineStr">
        <is>
          <t>John Manuel</t>
        </is>
      </c>
      <c r="C43" t="inlineStr">
        <is>
          <t>TL</t>
        </is>
      </c>
      <c r="F43" t="inlineStr">
        <is>
          <t>12am-8am</t>
        </is>
      </c>
      <c r="G43" t="inlineStr">
        <is>
          <t>8AM-10AM</t>
        </is>
      </c>
      <c r="H43" t="n">
        <v>2</v>
      </c>
      <c r="L43" t="inlineStr">
        <is>
          <t>migrated:TargetWeek23</t>
        </is>
      </c>
    </row>
    <row r="44">
      <c r="A44" t="inlineStr">
        <is>
          <t>2026-06-06</t>
        </is>
      </c>
      <c r="B44" t="inlineStr">
        <is>
          <t>Alyssa</t>
        </is>
      </c>
      <c r="C44" t="inlineStr">
        <is>
          <t>TL</t>
        </is>
      </c>
      <c r="F44" t="inlineStr">
        <is>
          <t>4pm-12am</t>
        </is>
      </c>
      <c r="G44" t="inlineStr">
        <is>
          <t>12PM-3PM</t>
        </is>
      </c>
      <c r="H44" t="n">
        <v>3</v>
      </c>
      <c r="L44" t="inlineStr">
        <is>
          <t>migrated:TargetWeek23</t>
        </is>
      </c>
    </row>
    <row r="45">
      <c r="A45" t="inlineStr">
        <is>
          <t>2026-06-07</t>
        </is>
      </c>
      <c r="B45" t="inlineStr">
        <is>
          <t>John Manuel</t>
        </is>
      </c>
      <c r="C45" t="inlineStr">
        <is>
          <t>TL</t>
        </is>
      </c>
      <c r="F45" t="inlineStr">
        <is>
          <t>12am-8am</t>
        </is>
      </c>
      <c r="G45" t="inlineStr">
        <is>
          <t>8AM-10AM</t>
        </is>
      </c>
      <c r="H45" t="n">
        <v>2</v>
      </c>
      <c r="L45" t="inlineStr">
        <is>
          <t>migrated:TargetWeek24</t>
        </is>
      </c>
    </row>
    <row r="46">
      <c r="A46" t="inlineStr">
        <is>
          <t>2026-06-08</t>
        </is>
      </c>
      <c r="B46" t="inlineStr">
        <is>
          <t>Alyssa</t>
        </is>
      </c>
      <c r="C46" t="inlineStr">
        <is>
          <t>TL</t>
        </is>
      </c>
      <c r="F46" t="inlineStr">
        <is>
          <t>OFF</t>
        </is>
      </c>
      <c r="G46" t="inlineStr">
        <is>
          <t>6am-10:30am</t>
        </is>
      </c>
      <c r="H46" t="n">
        <v>4.5</v>
      </c>
      <c r="L46" t="inlineStr">
        <is>
          <t>migrated:TargetWeek24</t>
        </is>
      </c>
    </row>
    <row r="47">
      <c r="A47" t="inlineStr">
        <is>
          <t>2026-06-11</t>
        </is>
      </c>
      <c r="B47" t="inlineStr">
        <is>
          <t>Alyssa</t>
        </is>
      </c>
      <c r="C47" t="inlineStr">
        <is>
          <t>TL</t>
        </is>
      </c>
      <c r="F47" t="inlineStr">
        <is>
          <t>OFF</t>
        </is>
      </c>
      <c r="G47" t="inlineStr">
        <is>
          <t>4pm-5pm &amp; 9pm-12am</t>
        </is>
      </c>
      <c r="H47" t="n">
        <v>4</v>
      </c>
      <c r="L47" t="inlineStr">
        <is>
          <t>migrated:TargetWeek24</t>
        </is>
      </c>
    </row>
    <row r="48">
      <c r="A48" t="inlineStr">
        <is>
          <t>2026-06-11</t>
        </is>
      </c>
      <c r="B48" t="inlineStr">
        <is>
          <t>John Manuel</t>
        </is>
      </c>
      <c r="C48" t="inlineStr">
        <is>
          <t>TL</t>
        </is>
      </c>
      <c r="F48" t="inlineStr">
        <is>
          <t>CANCEL OFF</t>
        </is>
      </c>
      <c r="G48" t="inlineStr">
        <is>
          <t>8am-10am</t>
        </is>
      </c>
      <c r="H48" t="n">
        <v>2</v>
      </c>
      <c r="L48" t="inlineStr">
        <is>
          <t>migrated:TargetWeek24</t>
        </is>
      </c>
    </row>
    <row r="49">
      <c r="A49" t="inlineStr">
        <is>
          <t>2026-06-12</t>
        </is>
      </c>
      <c r="B49" t="inlineStr">
        <is>
          <t>Alyssa</t>
        </is>
      </c>
      <c r="C49" t="inlineStr">
        <is>
          <t>TL</t>
        </is>
      </c>
      <c r="F49" t="inlineStr">
        <is>
          <t>4pm-12am</t>
        </is>
      </c>
      <c r="G49" t="inlineStr">
        <is>
          <t>15:00:00</t>
        </is>
      </c>
      <c r="H49" t="n">
        <v>1</v>
      </c>
      <c r="L49" t="inlineStr">
        <is>
          <t>migrated:TargetWeek24</t>
        </is>
      </c>
    </row>
    <row r="50">
      <c r="A50" t="inlineStr">
        <is>
          <t>2026-06-12</t>
        </is>
      </c>
      <c r="B50" t="inlineStr">
        <is>
          <t>John Manuel</t>
        </is>
      </c>
      <c r="C50" t="inlineStr">
        <is>
          <t>TL</t>
        </is>
      </c>
      <c r="F50" t="inlineStr">
        <is>
          <t>12am-8am</t>
        </is>
      </c>
      <c r="G50" t="inlineStr">
        <is>
          <t>8AM-10AM</t>
        </is>
      </c>
      <c r="H50" t="n">
        <v>2</v>
      </c>
      <c r="L50" t="inlineStr">
        <is>
          <t>migrated:TargetWeek24</t>
        </is>
      </c>
    </row>
    <row r="51">
      <c r="A51" t="inlineStr">
        <is>
          <t>2026-06-14</t>
        </is>
      </c>
      <c r="B51" t="inlineStr">
        <is>
          <t>Alyssa</t>
        </is>
      </c>
      <c r="C51" t="inlineStr">
        <is>
          <t>TL</t>
        </is>
      </c>
      <c r="F51" t="inlineStr">
        <is>
          <t>OFF</t>
        </is>
      </c>
      <c r="G51" t="inlineStr">
        <is>
          <t>4pm-10:30</t>
        </is>
      </c>
      <c r="H51" t="n">
        <v>6.5</v>
      </c>
      <c r="L51" t="inlineStr">
        <is>
          <t>migrated:TargetWeek25</t>
        </is>
      </c>
    </row>
    <row r="52">
      <c r="A52" t="inlineStr">
        <is>
          <t>2026-06-15</t>
        </is>
      </c>
      <c r="B52" t="inlineStr">
        <is>
          <t>John Manuel</t>
        </is>
      </c>
      <c r="C52" t="inlineStr">
        <is>
          <t>TL</t>
        </is>
      </c>
      <c r="F52" t="inlineStr">
        <is>
          <t>12am-8am</t>
        </is>
      </c>
      <c r="G52" t="inlineStr">
        <is>
          <t>8AM-10AM</t>
        </is>
      </c>
      <c r="H52" t="n">
        <v>2</v>
      </c>
      <c r="L52" t="inlineStr">
        <is>
          <t>migrated:TargetWeek25</t>
        </is>
      </c>
    </row>
    <row r="53">
      <c r="A53" t="inlineStr">
        <is>
          <t>2026-06-16</t>
        </is>
      </c>
      <c r="B53" t="inlineStr">
        <is>
          <t>John Manuel</t>
        </is>
      </c>
      <c r="C53" t="inlineStr">
        <is>
          <t>TL</t>
        </is>
      </c>
      <c r="F53" t="inlineStr">
        <is>
          <t>10pm-4am</t>
        </is>
      </c>
      <c r="G53" t="inlineStr">
        <is>
          <t>8AM-10AM</t>
        </is>
      </c>
      <c r="H53" t="n">
        <v>2</v>
      </c>
      <c r="L53" t="inlineStr">
        <is>
          <t>migrated:TargetWeek25</t>
        </is>
      </c>
    </row>
    <row r="54">
      <c r="A54" t="inlineStr">
        <is>
          <t>2026-06-17</t>
        </is>
      </c>
      <c r="B54" t="inlineStr">
        <is>
          <t>Alyssa</t>
        </is>
      </c>
      <c r="C54" t="inlineStr">
        <is>
          <t>TL</t>
        </is>
      </c>
      <c r="F54" t="inlineStr">
        <is>
          <t>OFF</t>
        </is>
      </c>
      <c r="G54" t="inlineStr">
        <is>
          <t>4pm-7pm &amp; 9pm-10pm</t>
        </is>
      </c>
      <c r="H54" t="n">
        <v>4</v>
      </c>
      <c r="L54" t="inlineStr">
        <is>
          <t>migrated:TargetWeek25</t>
        </is>
      </c>
    </row>
    <row r="55">
      <c r="A55" t="inlineStr">
        <is>
          <t>2026-06-17</t>
        </is>
      </c>
      <c r="B55" t="inlineStr">
        <is>
          <t>John Manuel</t>
        </is>
      </c>
      <c r="C55" t="inlineStr">
        <is>
          <t>TL</t>
        </is>
      </c>
      <c r="F55" t="inlineStr">
        <is>
          <t>12am-8am</t>
        </is>
      </c>
      <c r="G55" t="inlineStr">
        <is>
          <t>8am-9am</t>
        </is>
      </c>
      <c r="H55" t="n">
        <v>2</v>
      </c>
      <c r="L55" t="inlineStr">
        <is>
          <t>migrated:TargetWeek25</t>
        </is>
      </c>
    </row>
    <row r="56">
      <c r="A56" t="inlineStr">
        <is>
          <t>2026-06-18</t>
        </is>
      </c>
      <c r="B56" t="inlineStr">
        <is>
          <t>John Manuel</t>
        </is>
      </c>
      <c r="C56" t="inlineStr">
        <is>
          <t>TL</t>
        </is>
      </c>
      <c r="F56" t="inlineStr">
        <is>
          <t>Cancel OFF</t>
        </is>
      </c>
      <c r="G56" t="inlineStr">
        <is>
          <t>8AM-10AM</t>
        </is>
      </c>
      <c r="H56" t="n">
        <v>2</v>
      </c>
      <c r="L56" t="inlineStr">
        <is>
          <t>migrated:TargetWeek25</t>
        </is>
      </c>
    </row>
    <row r="57">
      <c r="A57" t="inlineStr">
        <is>
          <t>2026-06-18</t>
        </is>
      </c>
      <c r="B57" t="inlineStr">
        <is>
          <t>Micko Tanedo</t>
        </is>
      </c>
      <c r="C57" t="inlineStr">
        <is>
          <t>TL</t>
        </is>
      </c>
      <c r="F57" t="inlineStr">
        <is>
          <t>OFF</t>
        </is>
      </c>
      <c r="G57" t="inlineStr">
        <is>
          <t>10am-1pm &amp; 3pm - 5pm</t>
        </is>
      </c>
      <c r="H57" t="n">
        <v>5</v>
      </c>
      <c r="L57" t="inlineStr">
        <is>
          <t>migrated:TargetWeek25</t>
        </is>
      </c>
    </row>
    <row r="58">
      <c r="A58" t="inlineStr">
        <is>
          <t>2026-06-19</t>
        </is>
      </c>
      <c r="B58" t="inlineStr">
        <is>
          <t>John Manuel</t>
        </is>
      </c>
      <c r="C58" t="inlineStr">
        <is>
          <t>TL</t>
        </is>
      </c>
      <c r="F58" t="inlineStr">
        <is>
          <t>12am-8am</t>
        </is>
      </c>
      <c r="G58" t="inlineStr">
        <is>
          <t>8AM-10AM &amp; 11AM-12PM &amp; 9PM -12AM</t>
        </is>
      </c>
      <c r="H58" t="n">
        <v>6</v>
      </c>
      <c r="L58" t="inlineStr">
        <is>
          <t>migrated:TargetWeek25</t>
        </is>
      </c>
    </row>
    <row r="59">
      <c r="A59" t="inlineStr">
        <is>
          <t>2026-06-19</t>
        </is>
      </c>
      <c r="B59" t="inlineStr">
        <is>
          <t>Micko Tanedo</t>
        </is>
      </c>
      <c r="C59" t="inlineStr">
        <is>
          <t>TL</t>
        </is>
      </c>
      <c r="F59" t="inlineStr">
        <is>
          <t>8am-4pm</t>
        </is>
      </c>
      <c r="G59" t="inlineStr">
        <is>
          <t>06am-08am</t>
        </is>
      </c>
      <c r="H59" t="n">
        <v>2</v>
      </c>
      <c r="L59" t="inlineStr">
        <is>
          <t>migrated:TargetWeek25</t>
        </is>
      </c>
    </row>
    <row r="60">
      <c r="A60" t="inlineStr">
        <is>
          <t>2026-06-20</t>
        </is>
      </c>
      <c r="B60" t="inlineStr">
        <is>
          <t>Alyssa</t>
        </is>
      </c>
      <c r="C60" t="inlineStr">
        <is>
          <t>TL</t>
        </is>
      </c>
      <c r="F60" t="inlineStr">
        <is>
          <t>4pm-12am</t>
        </is>
      </c>
      <c r="G60" t="inlineStr">
        <is>
          <t>12am  - 1am</t>
        </is>
      </c>
      <c r="H60" t="n">
        <v>1</v>
      </c>
      <c r="L60" t="inlineStr">
        <is>
          <t>migrated:TargetWeek25</t>
        </is>
      </c>
    </row>
    <row r="61">
      <c r="A61" t="inlineStr">
        <is>
          <t>2026-06-20</t>
        </is>
      </c>
      <c r="B61" t="inlineStr">
        <is>
          <t>John Manuel</t>
        </is>
      </c>
      <c r="C61" t="inlineStr">
        <is>
          <t>TL</t>
        </is>
      </c>
      <c r="F61" t="inlineStr">
        <is>
          <t>CANCEL OFF</t>
        </is>
      </c>
      <c r="G61" t="inlineStr">
        <is>
          <t>8AM-10AM</t>
        </is>
      </c>
      <c r="H61" t="n">
        <v>2</v>
      </c>
      <c r="L61" t="inlineStr">
        <is>
          <t>migrated:TargetWeek25</t>
        </is>
      </c>
    </row>
    <row r="62">
      <c r="A62" t="inlineStr">
        <is>
          <t>2026-06-20</t>
        </is>
      </c>
      <c r="B62" t="inlineStr">
        <is>
          <t>Micko Tanedo</t>
        </is>
      </c>
      <c r="C62" t="inlineStr">
        <is>
          <t>TL</t>
        </is>
      </c>
      <c r="F62" t="inlineStr">
        <is>
          <t>8am-4pm</t>
        </is>
      </c>
      <c r="G62" t="inlineStr">
        <is>
          <t>6am-8am</t>
        </is>
      </c>
      <c r="H62" t="n">
        <v>2</v>
      </c>
      <c r="L62" t="inlineStr">
        <is>
          <t>migrated:TargetWeek25</t>
        </is>
      </c>
    </row>
    <row r="63">
      <c r="A63" t="inlineStr">
        <is>
          <t>2026-06-21</t>
        </is>
      </c>
      <c r="B63" t="inlineStr">
        <is>
          <t>Alyssa</t>
        </is>
      </c>
      <c r="C63" t="inlineStr">
        <is>
          <t>TL</t>
        </is>
      </c>
      <c r="F63" t="inlineStr">
        <is>
          <t>Cancel OFF</t>
        </is>
      </c>
      <c r="G63" t="inlineStr">
        <is>
          <t>1am-2am</t>
        </is>
      </c>
      <c r="H63" t="n">
        <v>1</v>
      </c>
      <c r="L63" t="inlineStr">
        <is>
          <t>migrated:TargetWeek26</t>
        </is>
      </c>
    </row>
    <row r="64">
      <c r="A64" t="inlineStr">
        <is>
          <t>2026-06-21</t>
        </is>
      </c>
      <c r="B64" t="inlineStr">
        <is>
          <t>John Manuel</t>
        </is>
      </c>
      <c r="C64" t="inlineStr">
        <is>
          <t>TL</t>
        </is>
      </c>
      <c r="F64" t="inlineStr">
        <is>
          <t>12am-8am</t>
        </is>
      </c>
      <c r="G64" t="inlineStr">
        <is>
          <t>8AM-10AM &amp; 6:30PM-8:00PM &amp; 9PM-12AM</t>
        </is>
      </c>
      <c r="H64" t="n">
        <v>6.5</v>
      </c>
      <c r="L64" t="inlineStr">
        <is>
          <t>migrated:TargetWeek26</t>
        </is>
      </c>
    </row>
    <row r="65">
      <c r="A65" t="inlineStr">
        <is>
          <t>2026-06-21</t>
        </is>
      </c>
      <c r="B65" t="inlineStr">
        <is>
          <t>Micko Tanedo</t>
        </is>
      </c>
      <c r="C65" t="inlineStr">
        <is>
          <t>TL</t>
        </is>
      </c>
      <c r="F65" t="inlineStr">
        <is>
          <t>Cancel OFF</t>
        </is>
      </c>
      <c r="G65" t="inlineStr">
        <is>
          <t>6am-8am &amp; 5pm-8pm</t>
        </is>
      </c>
      <c r="H65" t="n">
        <v>5</v>
      </c>
      <c r="L65" t="inlineStr">
        <is>
          <t>migrated:TargetWeek26</t>
        </is>
      </c>
    </row>
    <row r="66">
      <c r="A66" t="inlineStr">
        <is>
          <t>2026-06-22</t>
        </is>
      </c>
      <c r="B66" t="inlineStr">
        <is>
          <t>John Manuel</t>
        </is>
      </c>
      <c r="C66" t="inlineStr">
        <is>
          <t>TL</t>
        </is>
      </c>
      <c r="F66" t="inlineStr">
        <is>
          <t>12am-8am</t>
        </is>
      </c>
      <c r="G66" t="inlineStr">
        <is>
          <t>8AM-11AM &amp; 10PM-12AM</t>
        </is>
      </c>
      <c r="H66" t="n">
        <v>5</v>
      </c>
      <c r="L66" t="inlineStr">
        <is>
          <t>migrated:TargetWeek26</t>
        </is>
      </c>
    </row>
    <row r="67">
      <c r="A67" t="inlineStr">
        <is>
          <t>2026-06-22</t>
        </is>
      </c>
      <c r="B67" t="inlineStr">
        <is>
          <t>Micko Tanedo</t>
        </is>
      </c>
      <c r="C67" t="inlineStr">
        <is>
          <t>TL</t>
        </is>
      </c>
      <c r="F67" t="inlineStr">
        <is>
          <t>8am-4pm</t>
        </is>
      </c>
      <c r="G67" t="inlineStr">
        <is>
          <t>6am-8am &amp; 4pm-7pm</t>
        </is>
      </c>
      <c r="H67" t="n">
        <v>5</v>
      </c>
      <c r="L67" t="inlineStr">
        <is>
          <t>migrated:TargetWeek26</t>
        </is>
      </c>
    </row>
    <row r="68">
      <c r="A68" t="inlineStr">
        <is>
          <t>2026-06-23</t>
        </is>
      </c>
      <c r="B68" t="inlineStr">
        <is>
          <t>John Manuel</t>
        </is>
      </c>
      <c r="C68" t="inlineStr">
        <is>
          <t>TL</t>
        </is>
      </c>
      <c r="F68" t="inlineStr">
        <is>
          <t>10pm-4am</t>
        </is>
      </c>
      <c r="G68" t="inlineStr">
        <is>
          <t>8AM-10AM&amp;6PM-7:30PM</t>
        </is>
      </c>
      <c r="H68" t="n">
        <v>3.5</v>
      </c>
      <c r="L68" t="inlineStr">
        <is>
          <t>migrated:TargetWeek26</t>
        </is>
      </c>
    </row>
    <row r="69">
      <c r="A69" t="inlineStr">
        <is>
          <t>2026-06-23</t>
        </is>
      </c>
      <c r="B69" t="inlineStr">
        <is>
          <t>Micko Tanedo</t>
        </is>
      </c>
      <c r="C69" t="inlineStr">
        <is>
          <t>TL</t>
        </is>
      </c>
      <c r="F69" t="inlineStr">
        <is>
          <t>8am-4pm</t>
        </is>
      </c>
      <c r="G69" t="inlineStr">
        <is>
          <t>6am - 8am</t>
        </is>
      </c>
      <c r="H69" t="n">
        <v>2</v>
      </c>
      <c r="L69" t="inlineStr">
        <is>
          <t>migrated:TargetWeek26</t>
        </is>
      </c>
    </row>
    <row r="70">
      <c r="A70" t="inlineStr">
        <is>
          <t>2026-06-24</t>
        </is>
      </c>
      <c r="B70" t="inlineStr">
        <is>
          <t>John Manuel</t>
        </is>
      </c>
      <c r="C70" t="inlineStr">
        <is>
          <t>TL</t>
        </is>
      </c>
      <c r="F70" t="inlineStr">
        <is>
          <t>12am-8am</t>
        </is>
      </c>
      <c r="G70" t="inlineStr">
        <is>
          <t>9AM-1PM&amp;10PM-12AM</t>
        </is>
      </c>
      <c r="H70" t="n">
        <v>7</v>
      </c>
      <c r="L70" t="inlineStr">
        <is>
          <t>migrated:TargetWeek26</t>
        </is>
      </c>
    </row>
    <row r="71">
      <c r="A71" t="inlineStr">
        <is>
          <t>2026-06-24</t>
        </is>
      </c>
      <c r="B71" t="inlineStr">
        <is>
          <t>Micko Tanedo</t>
        </is>
      </c>
      <c r="C71" t="inlineStr">
        <is>
          <t>TL</t>
        </is>
      </c>
      <c r="F71" t="inlineStr">
        <is>
          <t>OFF</t>
        </is>
      </c>
      <c r="G71" t="inlineStr">
        <is>
          <t>9am-11am</t>
        </is>
      </c>
      <c r="H71" t="n">
        <v>2</v>
      </c>
      <c r="L71" t="inlineStr">
        <is>
          <t>migrated:TargetWeek26</t>
        </is>
      </c>
    </row>
    <row r="72">
      <c r="A72" t="inlineStr">
        <is>
          <t>2026-06-25</t>
        </is>
      </c>
      <c r="B72" t="inlineStr">
        <is>
          <t>Alyssa</t>
        </is>
      </c>
      <c r="C72" t="inlineStr">
        <is>
          <t>TL</t>
        </is>
      </c>
      <c r="F72" t="inlineStr">
        <is>
          <t>CANCEL OFF</t>
        </is>
      </c>
      <c r="H72" t="n">
        <v>3.5</v>
      </c>
      <c r="L72" t="inlineStr">
        <is>
          <t>migrated:TargetWeek26</t>
        </is>
      </c>
    </row>
    <row r="73">
      <c r="A73" t="inlineStr">
        <is>
          <t>2026-06-25</t>
        </is>
      </c>
      <c r="B73" t="inlineStr">
        <is>
          <t>John Manuel</t>
        </is>
      </c>
      <c r="C73" t="inlineStr">
        <is>
          <t>TL</t>
        </is>
      </c>
      <c r="F73" t="inlineStr">
        <is>
          <t>CANCEL OFF</t>
        </is>
      </c>
      <c r="G73" t="inlineStr">
        <is>
          <t>8AM-10AM&amp;11PM-12AM</t>
        </is>
      </c>
      <c r="H73" t="n">
        <v>3</v>
      </c>
      <c r="L73" t="inlineStr">
        <is>
          <t>migrated:TargetWeek26</t>
        </is>
      </c>
    </row>
    <row r="74">
      <c r="A74" t="inlineStr">
        <is>
          <t>2026-06-25</t>
        </is>
      </c>
      <c r="B74" t="inlineStr">
        <is>
          <t>Micko Tanedo</t>
        </is>
      </c>
      <c r="C74" t="inlineStr">
        <is>
          <t>TL</t>
        </is>
      </c>
      <c r="F74" t="inlineStr">
        <is>
          <t>8am-4pm</t>
        </is>
      </c>
      <c r="G74" t="inlineStr">
        <is>
          <t>6am - 8am</t>
        </is>
      </c>
      <c r="H74" t="n">
        <v>2</v>
      </c>
      <c r="L74" t="inlineStr">
        <is>
          <t>migrated:TargetWeek26</t>
        </is>
      </c>
    </row>
    <row r="75">
      <c r="A75" t="inlineStr">
        <is>
          <t>2026-06-26</t>
        </is>
      </c>
      <c r="B75" t="inlineStr">
        <is>
          <t>Alyssa</t>
        </is>
      </c>
      <c r="C75" t="inlineStr">
        <is>
          <t>TL</t>
        </is>
      </c>
      <c r="F75" t="inlineStr">
        <is>
          <t>4pm-12am</t>
        </is>
      </c>
      <c r="G75" t="inlineStr">
        <is>
          <t>12am-1am</t>
        </is>
      </c>
      <c r="H75" t="n">
        <v>1</v>
      </c>
      <c r="L75" t="inlineStr">
        <is>
          <t>migrated:TargetWeek26</t>
        </is>
      </c>
    </row>
    <row r="76">
      <c r="A76" t="inlineStr">
        <is>
          <t>2026-06-26</t>
        </is>
      </c>
      <c r="B76" t="inlineStr">
        <is>
          <t>John Manuel</t>
        </is>
      </c>
      <c r="C76" t="inlineStr">
        <is>
          <t>TL</t>
        </is>
      </c>
      <c r="F76" t="inlineStr">
        <is>
          <t>12am-8am</t>
        </is>
      </c>
      <c r="G76" t="inlineStr">
        <is>
          <t>8AM-10AM</t>
        </is>
      </c>
      <c r="H76" t="n">
        <v>2</v>
      </c>
      <c r="L76" t="inlineStr">
        <is>
          <t>migrated:TargetWeek26</t>
        </is>
      </c>
    </row>
    <row r="77">
      <c r="A77" t="inlineStr">
        <is>
          <t>2026-06-26</t>
        </is>
      </c>
      <c r="B77" t="inlineStr">
        <is>
          <t>Micko Tanedo</t>
        </is>
      </c>
      <c r="C77" t="inlineStr">
        <is>
          <t>TL</t>
        </is>
      </c>
      <c r="F77" t="inlineStr">
        <is>
          <t>8am-4pm</t>
        </is>
      </c>
      <c r="G77" t="inlineStr">
        <is>
          <t>6am-8am &amp; 4pm-6pm</t>
        </is>
      </c>
      <c r="H77" t="n">
        <v>4</v>
      </c>
      <c r="L77" t="inlineStr">
        <is>
          <t>migrated:TargetWeek26</t>
        </is>
      </c>
    </row>
    <row r="78">
      <c r="A78" t="inlineStr">
        <is>
          <t>2026-06-27</t>
        </is>
      </c>
      <c r="B78" t="inlineStr">
        <is>
          <t>Alyssa</t>
        </is>
      </c>
      <c r="C78" t="inlineStr">
        <is>
          <t>TL</t>
        </is>
      </c>
      <c r="F78" t="inlineStr">
        <is>
          <t>4pm-12am</t>
        </is>
      </c>
      <c r="G78" t="inlineStr">
        <is>
          <t>2pm-4pm</t>
        </is>
      </c>
      <c r="H78" t="n">
        <v>2</v>
      </c>
      <c r="L78" t="inlineStr">
        <is>
          <t>migrated:TargetWeek26</t>
        </is>
      </c>
    </row>
    <row r="79">
      <c r="A79" t="inlineStr">
        <is>
          <t>2026-06-27</t>
        </is>
      </c>
      <c r="B79" t="inlineStr">
        <is>
          <t>John Manuel</t>
        </is>
      </c>
      <c r="C79" t="inlineStr">
        <is>
          <t>TL</t>
        </is>
      </c>
      <c r="F79" t="inlineStr">
        <is>
          <t>CANCEL OFF</t>
        </is>
      </c>
      <c r="G79" t="inlineStr">
        <is>
          <t>8AM-10AM &amp; 8:30-12AM</t>
        </is>
      </c>
      <c r="H79" t="n">
        <v>5.5</v>
      </c>
      <c r="L79" t="inlineStr">
        <is>
          <t>migrated:TargetWeek26</t>
        </is>
      </c>
    </row>
    <row r="80">
      <c r="A80" t="inlineStr">
        <is>
          <t>2026-06-27</t>
        </is>
      </c>
      <c r="B80" t="inlineStr">
        <is>
          <t>Micko Tanedo</t>
        </is>
      </c>
      <c r="C80" t="inlineStr">
        <is>
          <t>TL</t>
        </is>
      </c>
      <c r="F80" t="inlineStr">
        <is>
          <t>8am-4pm</t>
        </is>
      </c>
      <c r="G80" t="inlineStr">
        <is>
          <t>6am - 8am</t>
        </is>
      </c>
      <c r="H80" t="n">
        <v>2</v>
      </c>
      <c r="L80" t="inlineStr">
        <is>
          <t>migrated:TargetWeek26</t>
        </is>
      </c>
    </row>
    <row r="81">
      <c r="A81" t="inlineStr">
        <is>
          <t>2026-06-28</t>
        </is>
      </c>
      <c r="B81" t="inlineStr">
        <is>
          <t>Alyssa</t>
        </is>
      </c>
      <c r="C81" t="inlineStr">
        <is>
          <t>TL</t>
        </is>
      </c>
      <c r="F81" t="inlineStr">
        <is>
          <t>OFF</t>
        </is>
      </c>
      <c r="G81" t="inlineStr">
        <is>
          <t>3pm-7pm</t>
        </is>
      </c>
      <c r="H81" t="n">
        <v>4</v>
      </c>
      <c r="L81" t="inlineStr">
        <is>
          <t>migrated:TargetWeek27</t>
        </is>
      </c>
    </row>
    <row r="82">
      <c r="A82" t="inlineStr">
        <is>
          <t>2026-06-28</t>
        </is>
      </c>
      <c r="B82" t="inlineStr">
        <is>
          <t>John Manuel</t>
        </is>
      </c>
      <c r="C82" t="inlineStr">
        <is>
          <t>TL</t>
        </is>
      </c>
      <c r="F82" t="inlineStr">
        <is>
          <t>12am-8am</t>
        </is>
      </c>
      <c r="G82" t="inlineStr">
        <is>
          <t>8:30PM-12AM</t>
        </is>
      </c>
      <c r="H82" t="n">
        <v>3.5</v>
      </c>
      <c r="L82" t="inlineStr">
        <is>
          <t>migrated:TargetWeek27</t>
        </is>
      </c>
    </row>
    <row r="83">
      <c r="A83" t="inlineStr">
        <is>
          <t>2026-06-28</t>
        </is>
      </c>
      <c r="B83" t="inlineStr">
        <is>
          <t>Micko Tanedo</t>
        </is>
      </c>
      <c r="C83" t="inlineStr">
        <is>
          <t>TL</t>
        </is>
      </c>
      <c r="F83" t="inlineStr">
        <is>
          <t>OFF</t>
        </is>
      </c>
      <c r="G83" t="inlineStr">
        <is>
          <t>8am-10am</t>
        </is>
      </c>
      <c r="H83" t="n">
        <v>2</v>
      </c>
      <c r="L83" t="inlineStr">
        <is>
          <t>migrated:TargetWeek27</t>
        </is>
      </c>
    </row>
    <row r="84">
      <c r="A84" t="inlineStr">
        <is>
          <t>2026-06-29</t>
        </is>
      </c>
      <c r="B84" t="inlineStr">
        <is>
          <t>Alyssa</t>
        </is>
      </c>
      <c r="C84" t="inlineStr">
        <is>
          <t>TL</t>
        </is>
      </c>
      <c r="F84" t="inlineStr">
        <is>
          <t>4pm-12am</t>
        </is>
      </c>
      <c r="G84" t="inlineStr">
        <is>
          <t>1pm-3pm</t>
        </is>
      </c>
      <c r="H84" t="n">
        <v>3</v>
      </c>
      <c r="L84" t="inlineStr">
        <is>
          <t>migrated:TargetWeek27</t>
        </is>
      </c>
    </row>
    <row r="85">
      <c r="A85" t="inlineStr">
        <is>
          <t>2026-06-29</t>
        </is>
      </c>
      <c r="B85" t="inlineStr">
        <is>
          <t>John Manuel</t>
        </is>
      </c>
      <c r="C85" t="inlineStr">
        <is>
          <t>TL</t>
        </is>
      </c>
      <c r="F85" t="inlineStr">
        <is>
          <t>12am-8am</t>
        </is>
      </c>
      <c r="G85" t="inlineStr">
        <is>
          <t>8AM-12PM &amp; 9:30PM-12AM</t>
        </is>
      </c>
      <c r="H85" t="n">
        <v>6.5</v>
      </c>
      <c r="L85" t="inlineStr">
        <is>
          <t>migrated:TargetWeek27</t>
        </is>
      </c>
    </row>
    <row r="86">
      <c r="A86" t="inlineStr">
        <is>
          <t>2026-06-29</t>
        </is>
      </c>
      <c r="B86" t="inlineStr">
        <is>
          <t>Micko Tanedo</t>
        </is>
      </c>
      <c r="C86" t="inlineStr">
        <is>
          <t>TL</t>
        </is>
      </c>
      <c r="F86" t="inlineStr">
        <is>
          <t>8am-4pm</t>
        </is>
      </c>
      <c r="G86" t="inlineStr">
        <is>
          <t>4pm-6pm &amp; 9:30pm-10:30pm</t>
        </is>
      </c>
      <c r="H86" t="n">
        <v>3</v>
      </c>
      <c r="L86" t="inlineStr">
        <is>
          <t>migrated:TargetWeek27</t>
        </is>
      </c>
    </row>
    <row r="87">
      <c r="A87" t="inlineStr">
        <is>
          <t>2026-06-30</t>
        </is>
      </c>
      <c r="B87" t="inlineStr">
        <is>
          <t>Alyssa</t>
        </is>
      </c>
      <c r="C87" t="inlineStr">
        <is>
          <t>TL</t>
        </is>
      </c>
      <c r="F87" t="inlineStr">
        <is>
          <t>3pm-10pm</t>
        </is>
      </c>
      <c r="G87" t="inlineStr">
        <is>
          <t>9am-12:30am</t>
        </is>
      </c>
      <c r="H87" t="n">
        <v>3.5</v>
      </c>
      <c r="L87" t="inlineStr">
        <is>
          <t>migrated:TargetWeek27</t>
        </is>
      </c>
    </row>
    <row r="88">
      <c r="A88" t="inlineStr">
        <is>
          <t>2026-06-30</t>
        </is>
      </c>
      <c r="B88" t="inlineStr">
        <is>
          <t>John Manuel</t>
        </is>
      </c>
      <c r="C88" t="inlineStr">
        <is>
          <t>TL</t>
        </is>
      </c>
      <c r="F88" t="inlineStr">
        <is>
          <t>10pm-4am</t>
        </is>
      </c>
      <c r="G88" t="inlineStr">
        <is>
          <t>8AM-1PM</t>
        </is>
      </c>
      <c r="H88" t="n">
        <v>5</v>
      </c>
      <c r="L88" t="inlineStr">
        <is>
          <t>migrated:TargetWeek27</t>
        </is>
      </c>
    </row>
    <row r="89">
      <c r="A89" t="inlineStr">
        <is>
          <t>2026-06-30</t>
        </is>
      </c>
      <c r="B89" t="inlineStr">
        <is>
          <t>Micko Tanedo</t>
        </is>
      </c>
      <c r="C89" t="inlineStr">
        <is>
          <t>TL</t>
        </is>
      </c>
      <c r="F89" t="inlineStr">
        <is>
          <t>8am-4pm</t>
        </is>
      </c>
      <c r="G89" t="inlineStr">
        <is>
          <t>6am-8am</t>
        </is>
      </c>
      <c r="H89" t="n">
        <v>2</v>
      </c>
      <c r="L89" t="inlineStr">
        <is>
          <t>migrated:TargetWeek27</t>
        </is>
      </c>
    </row>
    <row r="90">
      <c r="A90" t="inlineStr">
        <is>
          <t>2026-07-01</t>
        </is>
      </c>
      <c r="B90" t="inlineStr">
        <is>
          <t>John Manuel</t>
        </is>
      </c>
      <c r="C90" t="inlineStr">
        <is>
          <t>TL</t>
        </is>
      </c>
      <c r="F90" t="inlineStr">
        <is>
          <t>10pm-8am</t>
        </is>
      </c>
      <c r="G90" t="inlineStr">
        <is>
          <t>10AM-2PM&amp;10PM-12AM</t>
        </is>
      </c>
      <c r="H90" t="n">
        <v>6</v>
      </c>
      <c r="L90" t="inlineStr">
        <is>
          <t>migrated:TargetWeek27</t>
        </is>
      </c>
    </row>
    <row r="91">
      <c r="A91" t="inlineStr">
        <is>
          <t>2026-07-01</t>
        </is>
      </c>
      <c r="B91" t="inlineStr">
        <is>
          <t>Micko Tanedo</t>
        </is>
      </c>
      <c r="C91" t="inlineStr">
        <is>
          <t>TL</t>
        </is>
      </c>
      <c r="F91" t="inlineStr">
        <is>
          <t>Cancel OFF</t>
        </is>
      </c>
      <c r="G91" t="inlineStr">
        <is>
          <t>4pm-7pm</t>
        </is>
      </c>
      <c r="H91" t="n">
        <v>3</v>
      </c>
      <c r="L91" t="inlineStr">
        <is>
          <t>migrated:TargetWeek27</t>
        </is>
      </c>
    </row>
    <row r="92">
      <c r="A92" t="inlineStr">
        <is>
          <t>2026-07-02</t>
        </is>
      </c>
      <c r="B92" t="inlineStr">
        <is>
          <t>Alyssa</t>
        </is>
      </c>
      <c r="C92" t="inlineStr">
        <is>
          <t>TL</t>
        </is>
      </c>
      <c r="F92" t="inlineStr">
        <is>
          <t>4pm-12am</t>
        </is>
      </c>
      <c r="G92" t="inlineStr">
        <is>
          <t>3pm-4pm &amp; 12am-3am</t>
        </is>
      </c>
      <c r="H92" t="n">
        <v>4</v>
      </c>
      <c r="L92" t="inlineStr">
        <is>
          <t>migrated:TargetWeek27</t>
        </is>
      </c>
    </row>
    <row r="93">
      <c r="A93" t="inlineStr">
        <is>
          <t>2026-07-02</t>
        </is>
      </c>
      <c r="B93" t="inlineStr">
        <is>
          <t>John Manuel</t>
        </is>
      </c>
      <c r="C93" t="inlineStr">
        <is>
          <t>TL</t>
        </is>
      </c>
      <c r="F93" t="inlineStr">
        <is>
          <t>CANCEL OFF</t>
        </is>
      </c>
      <c r="G93" t="inlineStr">
        <is>
          <t>8AM-1PM &amp; 10PM-12AM</t>
        </is>
      </c>
      <c r="H93" t="n">
        <v>7</v>
      </c>
      <c r="L93" t="inlineStr">
        <is>
          <t>migrated:TargetWeek27</t>
        </is>
      </c>
    </row>
    <row r="94">
      <c r="A94" t="inlineStr">
        <is>
          <t>2026-07-02</t>
        </is>
      </c>
      <c r="B94" t="inlineStr">
        <is>
          <t>Micko Tanedo</t>
        </is>
      </c>
      <c r="C94" t="inlineStr">
        <is>
          <t>TL</t>
        </is>
      </c>
      <c r="F94" t="inlineStr">
        <is>
          <t>8am-4pm</t>
        </is>
      </c>
      <c r="G94" t="inlineStr">
        <is>
          <t>4pm-7pm</t>
        </is>
      </c>
      <c r="H94" t="n">
        <v>3</v>
      </c>
      <c r="L94" t="inlineStr">
        <is>
          <t>migrated:TargetWeek27</t>
        </is>
      </c>
    </row>
    <row r="95">
      <c r="A95" t="inlineStr">
        <is>
          <t>2026-07-03</t>
        </is>
      </c>
      <c r="B95" t="inlineStr">
        <is>
          <t>Alyssa</t>
        </is>
      </c>
      <c r="C95" t="inlineStr">
        <is>
          <t>TL</t>
        </is>
      </c>
      <c r="F95" t="inlineStr">
        <is>
          <t>4pm-12am</t>
        </is>
      </c>
      <c r="G95" t="inlineStr">
        <is>
          <t>10am-3pm</t>
        </is>
      </c>
      <c r="H95" t="n">
        <v>5</v>
      </c>
      <c r="L95" t="inlineStr">
        <is>
          <t>migrated:TargetWeek27</t>
        </is>
      </c>
    </row>
    <row r="96">
      <c r="A96" t="inlineStr">
        <is>
          <t>2026-07-03</t>
        </is>
      </c>
      <c r="B96" t="inlineStr">
        <is>
          <t>John Manuel</t>
        </is>
      </c>
      <c r="C96" t="inlineStr">
        <is>
          <t>TL</t>
        </is>
      </c>
      <c r="F96" t="inlineStr">
        <is>
          <t>12am-8am</t>
        </is>
      </c>
      <c r="G96" t="inlineStr">
        <is>
          <t>8AM-2PM&amp;10PM-12AM</t>
        </is>
      </c>
      <c r="H96" t="n">
        <v>9</v>
      </c>
      <c r="L96" t="inlineStr">
        <is>
          <t>migrated:TargetWeek27</t>
        </is>
      </c>
    </row>
    <row r="97">
      <c r="A97" t="inlineStr">
        <is>
          <t>2026-07-03</t>
        </is>
      </c>
      <c r="B97" t="inlineStr">
        <is>
          <t>Micko Tanedo</t>
        </is>
      </c>
      <c r="C97" t="inlineStr">
        <is>
          <t>TL</t>
        </is>
      </c>
      <c r="F97" t="inlineStr">
        <is>
          <t>8am-4pm</t>
        </is>
      </c>
      <c r="G97" t="inlineStr">
        <is>
          <t>7am-8am &amp; 4pm-8pm</t>
        </is>
      </c>
      <c r="H97" t="n">
        <v>5</v>
      </c>
      <c r="L97" t="inlineStr">
        <is>
          <t>migrated:TargetWeek27</t>
        </is>
      </c>
    </row>
    <row r="98">
      <c r="A98" t="inlineStr">
        <is>
          <t>2026-07-04</t>
        </is>
      </c>
      <c r="B98" t="inlineStr">
        <is>
          <t>Alyssa</t>
        </is>
      </c>
      <c r="C98" t="inlineStr">
        <is>
          <t>TL</t>
        </is>
      </c>
      <c r="F98" t="inlineStr">
        <is>
          <t>OFF</t>
        </is>
      </c>
      <c r="G98" t="inlineStr">
        <is>
          <t>8:30am-12:30pm</t>
        </is>
      </c>
      <c r="H98" t="n">
        <v>4</v>
      </c>
      <c r="L98" t="inlineStr">
        <is>
          <t>migrated:TargetWeek23</t>
        </is>
      </c>
    </row>
    <row r="99">
      <c r="A99" t="inlineStr">
        <is>
          <t>2026-07-04</t>
        </is>
      </c>
      <c r="B99" t="inlineStr">
        <is>
          <t>John Manuel</t>
        </is>
      </c>
      <c r="C99" t="inlineStr">
        <is>
          <t>TL</t>
        </is>
      </c>
      <c r="F99" t="inlineStr">
        <is>
          <t>CANCEL OFF</t>
        </is>
      </c>
      <c r="G99" t="inlineStr">
        <is>
          <t>8AM-10AM&amp;11PM-12AM</t>
        </is>
      </c>
      <c r="H99" t="n">
        <v>3</v>
      </c>
      <c r="L99" t="inlineStr">
        <is>
          <t>migrated:TargetWeek27</t>
        </is>
      </c>
    </row>
    <row r="100">
      <c r="A100" t="inlineStr">
        <is>
          <t>2026-07-04</t>
        </is>
      </c>
      <c r="B100" t="inlineStr">
        <is>
          <t>John Manuel</t>
        </is>
      </c>
      <c r="C100" t="inlineStr">
        <is>
          <t>TL</t>
        </is>
      </c>
      <c r="F100" t="inlineStr">
        <is>
          <t>CANCEL OFF</t>
        </is>
      </c>
      <c r="G100" t="inlineStr">
        <is>
          <t>11am-12:30pm</t>
        </is>
      </c>
      <c r="H100" t="n">
        <v>1</v>
      </c>
      <c r="L100" t="inlineStr">
        <is>
          <t>migrated:TargetWeek23</t>
        </is>
      </c>
    </row>
    <row r="101">
      <c r="A101" t="inlineStr">
        <is>
          <t>2026-07-04</t>
        </is>
      </c>
      <c r="B101" t="inlineStr">
        <is>
          <t>Micko Tanedo</t>
        </is>
      </c>
      <c r="C101" t="inlineStr">
        <is>
          <t>TL</t>
        </is>
      </c>
      <c r="F101" t="inlineStr">
        <is>
          <t>8am-4pm</t>
        </is>
      </c>
      <c r="G101" t="inlineStr">
        <is>
          <t>7am-8am &amp; 4pm-7pm</t>
        </is>
      </c>
      <c r="H101" t="n">
        <v>4</v>
      </c>
      <c r="L101" t="inlineStr">
        <is>
          <t>migrated:TargetWeek27</t>
        </is>
      </c>
    </row>
    <row r="102">
      <c r="A102" t="inlineStr">
        <is>
          <t>2026-07-05</t>
        </is>
      </c>
      <c r="B102" t="inlineStr">
        <is>
          <t>John Manuel</t>
        </is>
      </c>
      <c r="C102" t="inlineStr">
        <is>
          <t>TL</t>
        </is>
      </c>
      <c r="F102" t="inlineStr">
        <is>
          <t>12am-8am</t>
        </is>
      </c>
      <c r="G102" t="inlineStr">
        <is>
          <t>8AM-11AM&amp;11PM-12AM</t>
        </is>
      </c>
      <c r="H102" t="n">
        <v>4</v>
      </c>
      <c r="L102" t="inlineStr">
        <is>
          <t>migrated:TargetWeek28</t>
        </is>
      </c>
    </row>
    <row r="103">
      <c r="A103" t="inlineStr">
        <is>
          <t>2026-07-06</t>
        </is>
      </c>
      <c r="B103" t="inlineStr">
        <is>
          <t>Alyssa</t>
        </is>
      </c>
      <c r="C103" t="inlineStr">
        <is>
          <t>TL</t>
        </is>
      </c>
      <c r="F103" t="inlineStr">
        <is>
          <t>4pm-12am</t>
        </is>
      </c>
      <c r="G103" t="inlineStr">
        <is>
          <t>3pm-5pm</t>
        </is>
      </c>
      <c r="H103" t="n">
        <v>2</v>
      </c>
      <c r="L103" t="inlineStr">
        <is>
          <t>migrated:TargetWeek28</t>
        </is>
      </c>
    </row>
    <row r="104">
      <c r="A104" t="inlineStr">
        <is>
          <t>2026-07-06</t>
        </is>
      </c>
      <c r="B104" t="inlineStr">
        <is>
          <t>John Manuel</t>
        </is>
      </c>
      <c r="C104" t="inlineStr">
        <is>
          <t>TL</t>
        </is>
      </c>
      <c r="F104" t="inlineStr">
        <is>
          <t>12am-8am</t>
        </is>
      </c>
      <c r="G104" t="inlineStr">
        <is>
          <t>8AM-10AM&amp;10PM-12AM</t>
        </is>
      </c>
      <c r="H104" t="n">
        <v>4</v>
      </c>
      <c r="L104" t="inlineStr">
        <is>
          <t>migrated:TargetWeek28</t>
        </is>
      </c>
    </row>
    <row r="105">
      <c r="A105" t="inlineStr">
        <is>
          <t>2026-07-06</t>
        </is>
      </c>
      <c r="B105" t="inlineStr">
        <is>
          <t>Micko Tanedo</t>
        </is>
      </c>
      <c r="C105" t="inlineStr">
        <is>
          <t>TL</t>
        </is>
      </c>
      <c r="F105" t="inlineStr">
        <is>
          <t>8am-4pm</t>
        </is>
      </c>
      <c r="G105" t="inlineStr">
        <is>
          <t>7am-8am</t>
        </is>
      </c>
      <c r="H105" t="n">
        <v>1</v>
      </c>
      <c r="L105" t="inlineStr">
        <is>
          <t>migrated:TargetWeek28</t>
        </is>
      </c>
    </row>
    <row r="106">
      <c r="A106" t="inlineStr">
        <is>
          <t>2026-07-07</t>
        </is>
      </c>
      <c r="B106" t="inlineStr">
        <is>
          <t>Alyssa</t>
        </is>
      </c>
      <c r="C106" t="inlineStr">
        <is>
          <t>TL</t>
        </is>
      </c>
      <c r="F106" t="inlineStr">
        <is>
          <t>3pm-10pm</t>
        </is>
      </c>
      <c r="G106" t="inlineStr">
        <is>
          <t>10pm-6am</t>
        </is>
      </c>
      <c r="H106" t="n">
        <v>6</v>
      </c>
      <c r="L106" t="inlineStr">
        <is>
          <t>migrated:TargetWeek28</t>
        </is>
      </c>
    </row>
    <row r="107">
      <c r="A107" t="inlineStr">
        <is>
          <t>2026-07-07</t>
        </is>
      </c>
      <c r="B107" t="inlineStr">
        <is>
          <t>John Manuel</t>
        </is>
      </c>
      <c r="C107" t="inlineStr">
        <is>
          <t>TL</t>
        </is>
      </c>
      <c r="F107" t="inlineStr">
        <is>
          <t>10pm-4am</t>
        </is>
      </c>
      <c r="G107" t="inlineStr">
        <is>
          <t>8AM-10PM</t>
        </is>
      </c>
      <c r="H107" t="n">
        <v>2</v>
      </c>
      <c r="L107" t="inlineStr">
        <is>
          <t>migrated:TargetWeek28</t>
        </is>
      </c>
    </row>
    <row r="108">
      <c r="A108" t="inlineStr">
        <is>
          <t>2026-07-07</t>
        </is>
      </c>
      <c r="B108" t="inlineStr">
        <is>
          <t>Micko Tanedo</t>
        </is>
      </c>
      <c r="C108" t="inlineStr">
        <is>
          <t>TL</t>
        </is>
      </c>
      <c r="F108" t="inlineStr">
        <is>
          <t>8am-3pm</t>
        </is>
      </c>
      <c r="G108" t="inlineStr">
        <is>
          <t>7am-8am &amp; 4pm-7pm</t>
        </is>
      </c>
      <c r="H108" t="n">
        <v>4</v>
      </c>
      <c r="L108" t="inlineStr">
        <is>
          <t>migrated:TargetWeek28</t>
        </is>
      </c>
    </row>
    <row r="109">
      <c r="A109" t="inlineStr">
        <is>
          <t>2026-07-09</t>
        </is>
      </c>
      <c r="B109" t="inlineStr">
        <is>
          <t>John Manuel</t>
        </is>
      </c>
      <c r="C109" t="inlineStr">
        <is>
          <t>TL</t>
        </is>
      </c>
      <c r="F109" t="inlineStr">
        <is>
          <t>CANCEL OFF</t>
        </is>
      </c>
      <c r="G109" t="inlineStr">
        <is>
          <t>8AM-10AM</t>
        </is>
      </c>
      <c r="H109" t="n">
        <v>2</v>
      </c>
      <c r="L109" t="inlineStr">
        <is>
          <t>migrated:TargetWeek28</t>
        </is>
      </c>
    </row>
    <row r="110">
      <c r="A110" t="inlineStr">
        <is>
          <t>2026-07-09</t>
        </is>
      </c>
      <c r="B110" t="inlineStr">
        <is>
          <t>Micko Tanedo</t>
        </is>
      </c>
      <c r="C110" t="inlineStr">
        <is>
          <t>TL</t>
        </is>
      </c>
      <c r="F110" t="inlineStr">
        <is>
          <t>8am-4pm</t>
        </is>
      </c>
      <c r="G110" t="inlineStr">
        <is>
          <t>6am-8am &amp; 4pm-7pm</t>
        </is>
      </c>
      <c r="H110" t="n">
        <v>5</v>
      </c>
      <c r="L110" t="inlineStr">
        <is>
          <t>migrated:TargetWeek28</t>
        </is>
      </c>
    </row>
    <row r="111">
      <c r="A111" t="inlineStr">
        <is>
          <t>2026-07-10</t>
        </is>
      </c>
      <c r="B111" t="inlineStr">
        <is>
          <t>Alyssa</t>
        </is>
      </c>
      <c r="C111" t="inlineStr">
        <is>
          <t>TL</t>
        </is>
      </c>
      <c r="F111" t="inlineStr">
        <is>
          <t>4pm-12am</t>
        </is>
      </c>
      <c r="G111" t="inlineStr">
        <is>
          <t>12am-1:30am</t>
        </is>
      </c>
      <c r="H111" t="n">
        <v>1.5</v>
      </c>
      <c r="L111" t="inlineStr">
        <is>
          <t>migrated:TargetWeek28</t>
        </is>
      </c>
    </row>
    <row r="112">
      <c r="A112" t="inlineStr">
        <is>
          <t>2026-07-10</t>
        </is>
      </c>
      <c r="B112" t="inlineStr">
        <is>
          <t>John Manuel</t>
        </is>
      </c>
      <c r="C112" t="inlineStr">
        <is>
          <t>TL</t>
        </is>
      </c>
      <c r="F112" t="inlineStr">
        <is>
          <t>12am-8am</t>
        </is>
      </c>
      <c r="G112" t="inlineStr">
        <is>
          <t>8AM-10AM</t>
        </is>
      </c>
      <c r="H112" t="n">
        <v>2</v>
      </c>
      <c r="L112" t="inlineStr">
        <is>
          <t>migrated:TargetWeek28</t>
        </is>
      </c>
    </row>
    <row r="113">
      <c r="A113" t="inlineStr">
        <is>
          <t>2026-07-10</t>
        </is>
      </c>
      <c r="B113" t="inlineStr">
        <is>
          <t>Micko Tanedo</t>
        </is>
      </c>
      <c r="C113" t="inlineStr">
        <is>
          <t>TL</t>
        </is>
      </c>
      <c r="F113" t="inlineStr">
        <is>
          <t>8am-4pm</t>
        </is>
      </c>
      <c r="G113" t="inlineStr">
        <is>
          <t>7am-8am &amp; 4pm-7pm</t>
        </is>
      </c>
      <c r="H113" t="n">
        <v>4</v>
      </c>
      <c r="L113" t="inlineStr">
        <is>
          <t>migrated:TargetWeek28</t>
        </is>
      </c>
    </row>
    <row r="114">
      <c r="A114" t="inlineStr">
        <is>
          <t>2026-07-11</t>
        </is>
      </c>
      <c r="B114" t="inlineStr">
        <is>
          <t>John Manuel</t>
        </is>
      </c>
      <c r="C114" t="inlineStr">
        <is>
          <t>TL</t>
        </is>
      </c>
      <c r="F114" t="inlineStr">
        <is>
          <t>CANCEL OFF</t>
        </is>
      </c>
      <c r="G114" t="inlineStr">
        <is>
          <t>8AM-10AM</t>
        </is>
      </c>
      <c r="H114" t="n">
        <v>2</v>
      </c>
      <c r="L114" t="inlineStr">
        <is>
          <t>migrated:TargetWeek28</t>
        </is>
      </c>
    </row>
    <row r="115">
      <c r="A115" t="inlineStr">
        <is>
          <t>2026-07-11</t>
        </is>
      </c>
      <c r="B115" t="inlineStr">
        <is>
          <t>Micko Tanedo</t>
        </is>
      </c>
      <c r="C115" t="inlineStr">
        <is>
          <t>TL</t>
        </is>
      </c>
      <c r="F115" t="inlineStr">
        <is>
          <t>8am-4pm</t>
        </is>
      </c>
      <c r="G115" t="inlineStr">
        <is>
          <t>7am-8am &amp; 4pm-6pm</t>
        </is>
      </c>
      <c r="H115" t="n">
        <v>3</v>
      </c>
      <c r="L115" t="inlineStr">
        <is>
          <t>migrated:TargetWeek28</t>
        </is>
      </c>
    </row>
    <row r="116">
      <c r="A116" t="inlineStr">
        <is>
          <t>2026-07-12</t>
        </is>
      </c>
      <c r="B116" t="inlineStr">
        <is>
          <t>Alyssa</t>
        </is>
      </c>
      <c r="C116" t="inlineStr">
        <is>
          <t>TL</t>
        </is>
      </c>
      <c r="F116" t="inlineStr">
        <is>
          <t>OFF</t>
        </is>
      </c>
      <c r="G116" t="inlineStr">
        <is>
          <t>6pm-12am</t>
        </is>
      </c>
      <c r="H116" t="n">
        <v>6</v>
      </c>
      <c r="L116" t="inlineStr">
        <is>
          <t>migrated:TargetWeek29</t>
        </is>
      </c>
    </row>
    <row r="117">
      <c r="A117" t="inlineStr">
        <is>
          <t>2026-07-12</t>
        </is>
      </c>
      <c r="B117" t="inlineStr">
        <is>
          <t>John Manuel</t>
        </is>
      </c>
      <c r="C117" t="inlineStr">
        <is>
          <t>TL</t>
        </is>
      </c>
      <c r="F117" t="inlineStr">
        <is>
          <t>12am-8am</t>
        </is>
      </c>
      <c r="G117" t="inlineStr">
        <is>
          <t>8AM-11AM-10PM-12AM</t>
        </is>
      </c>
      <c r="H117" t="n">
        <v>5</v>
      </c>
      <c r="L117" t="inlineStr">
        <is>
          <t>migrated:TargetWeek29</t>
        </is>
      </c>
    </row>
    <row r="118">
      <c r="A118" t="inlineStr">
        <is>
          <t>2026-07-12</t>
        </is>
      </c>
      <c r="B118" t="inlineStr">
        <is>
          <t>Micko Tanedo</t>
        </is>
      </c>
      <c r="C118" t="inlineStr">
        <is>
          <t>TL</t>
        </is>
      </c>
      <c r="F118" t="inlineStr">
        <is>
          <t>OFF</t>
        </is>
      </c>
      <c r="G118" t="inlineStr">
        <is>
          <t>7am-11am &amp; 1pm-3pm</t>
        </is>
      </c>
      <c r="H118" t="n">
        <v>6</v>
      </c>
      <c r="L118" t="inlineStr">
        <is>
          <t>migrated:TargetWeek29</t>
        </is>
      </c>
    </row>
    <row r="119">
      <c r="A119" t="inlineStr">
        <is>
          <t>2026-07-13</t>
        </is>
      </c>
      <c r="B119" t="inlineStr">
        <is>
          <t>John Manuel</t>
        </is>
      </c>
      <c r="C119" t="inlineStr">
        <is>
          <t>TL</t>
        </is>
      </c>
      <c r="F119" t="inlineStr">
        <is>
          <t>12am-8am</t>
        </is>
      </c>
      <c r="G119" t="inlineStr">
        <is>
          <t>8AM-10AM &amp; 10PM-12AM</t>
        </is>
      </c>
      <c r="H119" t="n">
        <v>4</v>
      </c>
      <c r="L119" t="inlineStr">
        <is>
          <t>migrated:TargetWeek29</t>
        </is>
      </c>
    </row>
    <row r="120">
      <c r="A120" t="inlineStr">
        <is>
          <t>2026-07-13</t>
        </is>
      </c>
      <c r="B120" t="inlineStr">
        <is>
          <t>Micko Tanedo</t>
        </is>
      </c>
      <c r="C120" t="inlineStr">
        <is>
          <t>TL</t>
        </is>
      </c>
      <c r="F120" t="inlineStr">
        <is>
          <t>8am-4pm</t>
        </is>
      </c>
      <c r="G120" t="inlineStr">
        <is>
          <t>7am-8am &amp; 4pm-8pm</t>
        </is>
      </c>
      <c r="H120" t="n">
        <v>5</v>
      </c>
      <c r="L120" t="inlineStr">
        <is>
          <t>migrated:TargetWeek29</t>
        </is>
      </c>
    </row>
    <row r="121">
      <c r="A121" t="inlineStr">
        <is>
          <t>2026-07-14</t>
        </is>
      </c>
      <c r="B121" t="inlineStr">
        <is>
          <t>Alyssa</t>
        </is>
      </c>
      <c r="C121" t="inlineStr">
        <is>
          <t>TL</t>
        </is>
      </c>
      <c r="F121" t="inlineStr">
        <is>
          <t>3pm-10pm</t>
        </is>
      </c>
      <c r="G121" t="inlineStr">
        <is>
          <t>9am-12pm &amp; 10pm-4am</t>
        </is>
      </c>
      <c r="H121" t="n">
        <v>9</v>
      </c>
      <c r="L121" t="inlineStr">
        <is>
          <t>migrated:TargetWeek29</t>
        </is>
      </c>
    </row>
    <row r="122">
      <c r="A122" t="inlineStr">
        <is>
          <t>2026-07-14</t>
        </is>
      </c>
      <c r="B122" t="inlineStr">
        <is>
          <t>John Manuel</t>
        </is>
      </c>
      <c r="C122" t="inlineStr">
        <is>
          <t>TL</t>
        </is>
      </c>
      <c r="F122" t="inlineStr">
        <is>
          <t>10pm-4am</t>
        </is>
      </c>
      <c r="G122" t="inlineStr">
        <is>
          <t>8AM-10AM</t>
        </is>
      </c>
      <c r="H122" t="n">
        <v>2</v>
      </c>
      <c r="L122" t="inlineStr">
        <is>
          <t>migrated:TargetWeek29</t>
        </is>
      </c>
    </row>
    <row r="123">
      <c r="A123" t="inlineStr">
        <is>
          <t>2026-07-14</t>
        </is>
      </c>
      <c r="B123" t="inlineStr">
        <is>
          <t>Micko Tanedo</t>
        </is>
      </c>
      <c r="C123" t="inlineStr">
        <is>
          <t>TL</t>
        </is>
      </c>
      <c r="F123" t="inlineStr">
        <is>
          <t>8am-3pm</t>
        </is>
      </c>
      <c r="G123" t="inlineStr">
        <is>
          <t>7am-8am &amp; 4pm-8pm</t>
        </is>
      </c>
      <c r="H123" t="n">
        <v>5</v>
      </c>
      <c r="L123" t="inlineStr">
        <is>
          <t>migrated:TargetWeek29</t>
        </is>
      </c>
    </row>
    <row r="124">
      <c r="A124" t="inlineStr">
        <is>
          <t>2026-07-16</t>
        </is>
      </c>
      <c r="B124" t="inlineStr">
        <is>
          <t>Alyssa</t>
        </is>
      </c>
      <c r="C124" t="inlineStr">
        <is>
          <t>TL</t>
        </is>
      </c>
      <c r="F124" t="inlineStr">
        <is>
          <t>4pm-12am</t>
        </is>
      </c>
      <c r="G124" t="inlineStr">
        <is>
          <t>12am-1am</t>
        </is>
      </c>
      <c r="H124" t="n">
        <v>1</v>
      </c>
      <c r="L124" t="inlineStr">
        <is>
          <t>migrated:TargetWeek29</t>
        </is>
      </c>
    </row>
    <row r="125">
      <c r="A125" t="inlineStr">
        <is>
          <t>2026-07-16</t>
        </is>
      </c>
      <c r="B125" t="inlineStr">
        <is>
          <t>John Manuel</t>
        </is>
      </c>
      <c r="C125" t="inlineStr">
        <is>
          <t>TL</t>
        </is>
      </c>
      <c r="F125" t="inlineStr">
        <is>
          <t>CANCEL OFF</t>
        </is>
      </c>
      <c r="G125" t="inlineStr">
        <is>
          <t>8AM-11AM-9PM-12AM</t>
        </is>
      </c>
      <c r="H125" t="n">
        <v>6</v>
      </c>
      <c r="L125" t="inlineStr">
        <is>
          <t>migrated:TargetWeek29</t>
        </is>
      </c>
    </row>
    <row r="126">
      <c r="A126" t="inlineStr">
        <is>
          <t>2026-07-16</t>
        </is>
      </c>
      <c r="B126" t="inlineStr">
        <is>
          <t>Micko Tanedo</t>
        </is>
      </c>
      <c r="C126" t="inlineStr">
        <is>
          <t>TL</t>
        </is>
      </c>
      <c r="F126" t="inlineStr">
        <is>
          <t>8am-4pm</t>
        </is>
      </c>
      <c r="G126" t="inlineStr">
        <is>
          <t>7am-8am &amp; 4pm-7pm</t>
        </is>
      </c>
      <c r="H126" t="n">
        <v>4</v>
      </c>
      <c r="L126" t="inlineStr">
        <is>
          <t>migrated:TargetWeek29</t>
        </is>
      </c>
    </row>
    <row r="127">
      <c r="A127" t="inlineStr">
        <is>
          <t>2026-07-17</t>
        </is>
      </c>
      <c r="B127" t="inlineStr">
        <is>
          <t>Alyssa</t>
        </is>
      </c>
      <c r="C127" t="inlineStr">
        <is>
          <t>TL</t>
        </is>
      </c>
      <c r="F127" t="inlineStr">
        <is>
          <t>4pm-12am</t>
        </is>
      </c>
      <c r="G127" t="inlineStr">
        <is>
          <t>7:30am-8am &amp; 12pm-2:30</t>
        </is>
      </c>
      <c r="H127" t="n">
        <v>4</v>
      </c>
      <c r="L127" t="inlineStr">
        <is>
          <t>migrated:TargetWeek29</t>
        </is>
      </c>
    </row>
    <row r="128">
      <c r="A128" t="inlineStr">
        <is>
          <t>2026-07-17</t>
        </is>
      </c>
      <c r="B128" t="inlineStr">
        <is>
          <t>John Manuel</t>
        </is>
      </c>
      <c r="C128" t="inlineStr">
        <is>
          <t>TL</t>
        </is>
      </c>
      <c r="F128" t="inlineStr">
        <is>
          <t>12am-8am</t>
        </is>
      </c>
      <c r="G128" t="inlineStr">
        <is>
          <t>8AM-11AM-10PM-12AM</t>
        </is>
      </c>
      <c r="H128" t="n">
        <v>5</v>
      </c>
      <c r="L128" t="inlineStr">
        <is>
          <t>migrated:TargetWeek29</t>
        </is>
      </c>
    </row>
    <row r="129">
      <c r="A129" t="inlineStr">
        <is>
          <t>2026-07-17</t>
        </is>
      </c>
      <c r="B129" t="inlineStr">
        <is>
          <t>Micko Tanedo</t>
        </is>
      </c>
      <c r="C129" t="inlineStr">
        <is>
          <t>TL</t>
        </is>
      </c>
      <c r="F129" t="inlineStr">
        <is>
          <t>8am-4pm</t>
        </is>
      </c>
      <c r="G129" t="inlineStr">
        <is>
          <t>7am-8am &amp; 4pm-7pm</t>
        </is>
      </c>
      <c r="H129" t="n">
        <v>4</v>
      </c>
      <c r="L129" t="inlineStr">
        <is>
          <t>migrated:TargetWeek29</t>
        </is>
      </c>
    </row>
    <row r="130">
      <c r="A130" t="inlineStr">
        <is>
          <t>2026-07-18</t>
        </is>
      </c>
      <c r="B130" t="inlineStr">
        <is>
          <t>Alyssa</t>
        </is>
      </c>
      <c r="C130" t="inlineStr">
        <is>
          <t>TL</t>
        </is>
      </c>
      <c r="F130" t="inlineStr">
        <is>
          <t>4pm-12am</t>
        </is>
      </c>
      <c r="G130" t="inlineStr">
        <is>
          <t>6:30AM-10AM</t>
        </is>
      </c>
      <c r="H130" t="n">
        <v>3.5</v>
      </c>
      <c r="L130" t="inlineStr">
        <is>
          <t>migrated:TargetWeek29</t>
        </is>
      </c>
    </row>
    <row r="131">
      <c r="A131" t="inlineStr">
        <is>
          <t>2026-07-18</t>
        </is>
      </c>
      <c r="B131" t="inlineStr">
        <is>
          <t>John Manuel</t>
        </is>
      </c>
      <c r="C131" t="inlineStr">
        <is>
          <t>TL</t>
        </is>
      </c>
      <c r="F131" t="inlineStr">
        <is>
          <t>CANCEL OFF</t>
        </is>
      </c>
      <c r="G131" t="inlineStr">
        <is>
          <t>8AM-11AM&amp;9PM-12AM</t>
        </is>
      </c>
      <c r="H131" t="n">
        <v>6</v>
      </c>
      <c r="L131" t="inlineStr">
        <is>
          <t>migrated:TargetWeek29</t>
        </is>
      </c>
    </row>
    <row r="132">
      <c r="A132" t="inlineStr">
        <is>
          <t>2026-07-18</t>
        </is>
      </c>
      <c r="B132" t="inlineStr">
        <is>
          <t>Micko Tanedo</t>
        </is>
      </c>
      <c r="C132" t="inlineStr">
        <is>
          <t>TL</t>
        </is>
      </c>
      <c r="F132" t="inlineStr">
        <is>
          <t>8am-4pm</t>
        </is>
      </c>
      <c r="G132" t="inlineStr">
        <is>
          <t>7am-8am &amp; 4pm-7pm</t>
        </is>
      </c>
      <c r="H132" t="n">
        <v>4</v>
      </c>
      <c r="L132" t="inlineStr">
        <is>
          <t>migrated:TargetWeek29</t>
        </is>
      </c>
    </row>
    <row r="133">
      <c r="A133" t="inlineStr">
        <is>
          <t>2026-07-19</t>
        </is>
      </c>
      <c r="B133" t="inlineStr">
        <is>
          <t>Alyssa</t>
        </is>
      </c>
      <c r="C133" t="inlineStr">
        <is>
          <t>TL</t>
        </is>
      </c>
      <c r="F133" t="inlineStr">
        <is>
          <t>CANCEL OFF</t>
        </is>
      </c>
      <c r="G133" t="inlineStr">
        <is>
          <t>12am-1am</t>
        </is>
      </c>
      <c r="H133" t="n">
        <v>1</v>
      </c>
      <c r="L133" t="inlineStr">
        <is>
          <t>migrated:TargetWeek30</t>
        </is>
      </c>
    </row>
    <row r="134">
      <c r="A134" t="inlineStr">
        <is>
          <t>2026-07-19</t>
        </is>
      </c>
      <c r="B134" t="inlineStr">
        <is>
          <t>John Manuel</t>
        </is>
      </c>
      <c r="C134" t="inlineStr">
        <is>
          <t>TL</t>
        </is>
      </c>
      <c r="F134" t="inlineStr">
        <is>
          <t>12am-8am</t>
        </is>
      </c>
      <c r="G134" t="inlineStr">
        <is>
          <t>8AM-11AM-9PM-12AM</t>
        </is>
      </c>
      <c r="H134" t="n">
        <v>6</v>
      </c>
      <c r="L134" t="inlineStr">
        <is>
          <t>migrated:TargetWeek30</t>
        </is>
      </c>
    </row>
    <row r="135">
      <c r="A135" t="inlineStr">
        <is>
          <t>2026-07-19</t>
        </is>
      </c>
      <c r="B135" t="inlineStr">
        <is>
          <t>Micko Tanedo</t>
        </is>
      </c>
      <c r="C135" t="inlineStr">
        <is>
          <t>TL</t>
        </is>
      </c>
      <c r="F135" t="inlineStr">
        <is>
          <t>OFF</t>
        </is>
      </c>
      <c r="G135" t="inlineStr">
        <is>
          <t>7am-1pm</t>
        </is>
      </c>
      <c r="H135" t="n">
        <v>6</v>
      </c>
      <c r="L135" t="inlineStr">
        <is>
          <t>migrated:TargetWeek30</t>
        </is>
      </c>
    </row>
    <row r="136">
      <c r="A136" t="inlineStr">
        <is>
          <t>2026-07-20</t>
        </is>
      </c>
      <c r="B136" t="inlineStr">
        <is>
          <t>John Manuel</t>
        </is>
      </c>
      <c r="C136" t="inlineStr">
        <is>
          <t>TL</t>
        </is>
      </c>
      <c r="F136" t="inlineStr">
        <is>
          <t>12am-8am</t>
        </is>
      </c>
      <c r="G136" t="inlineStr">
        <is>
          <t>8AM-11AM-9PM-12AM</t>
        </is>
      </c>
      <c r="H136" t="n">
        <v>5</v>
      </c>
      <c r="L136" t="inlineStr">
        <is>
          <t>migrated:TargetWeek30</t>
        </is>
      </c>
    </row>
    <row r="137">
      <c r="A137" t="inlineStr">
        <is>
          <t>2026-07-20</t>
        </is>
      </c>
      <c r="B137" t="inlineStr">
        <is>
          <t>Micko Tanedo</t>
        </is>
      </c>
      <c r="C137" t="inlineStr">
        <is>
          <t>TL</t>
        </is>
      </c>
      <c r="F137" t="inlineStr">
        <is>
          <t>8am-4pm</t>
        </is>
      </c>
      <c r="G137" t="inlineStr">
        <is>
          <t>7am-8am &amp; 4pm-8pm</t>
        </is>
      </c>
      <c r="H137" t="n">
        <v>5</v>
      </c>
      <c r="L137" t="inlineStr">
        <is>
          <t>migrated:TargetWeek30</t>
        </is>
      </c>
    </row>
    <row r="138">
      <c r="A138" t="inlineStr">
        <is>
          <t>2026-07-21</t>
        </is>
      </c>
      <c r="B138" t="inlineStr">
        <is>
          <t>John Manuel</t>
        </is>
      </c>
      <c r="C138" t="inlineStr">
        <is>
          <t>TL</t>
        </is>
      </c>
      <c r="F138" t="inlineStr">
        <is>
          <t>10pm-4am</t>
        </is>
      </c>
      <c r="G138" t="inlineStr">
        <is>
          <t>8AM-10AM</t>
        </is>
      </c>
      <c r="H138" t="n">
        <v>2</v>
      </c>
      <c r="L138" t="inlineStr">
        <is>
          <t>migrated:TargetWeek30</t>
        </is>
      </c>
    </row>
    <row r="139">
      <c r="A139" t="inlineStr">
        <is>
          <t>2026-07-21</t>
        </is>
      </c>
      <c r="B139" t="inlineStr">
        <is>
          <t>Micko Tanedo</t>
        </is>
      </c>
      <c r="C139" t="inlineStr">
        <is>
          <t>TL</t>
        </is>
      </c>
      <c r="F139" t="inlineStr">
        <is>
          <t>8am-3pm</t>
        </is>
      </c>
      <c r="G139" t="inlineStr">
        <is>
          <t>7am-8am &amp; 3pm-6pm</t>
        </is>
      </c>
      <c r="H139" t="n">
        <v>4</v>
      </c>
      <c r="L139" t="inlineStr">
        <is>
          <t>migrated:TargetWeek30</t>
        </is>
      </c>
    </row>
    <row r="140">
      <c r="A140" t="inlineStr">
        <is>
          <t>2026-07-22</t>
        </is>
      </c>
      <c r="B140" t="inlineStr">
        <is>
          <t>Alyssa</t>
        </is>
      </c>
      <c r="C140" t="inlineStr">
        <is>
          <t>TL</t>
        </is>
      </c>
      <c r="F140" t="inlineStr">
        <is>
          <t>CANCEL OFF</t>
        </is>
      </c>
      <c r="G140" t="inlineStr">
        <is>
          <t>12am-2am</t>
        </is>
      </c>
      <c r="H140" t="n">
        <v>2</v>
      </c>
      <c r="L140" t="inlineStr">
        <is>
          <t>migrated:TargetWeek30</t>
        </is>
      </c>
    </row>
    <row r="141">
      <c r="A141" t="inlineStr">
        <is>
          <t>2026-07-22</t>
        </is>
      </c>
      <c r="B141" t="inlineStr">
        <is>
          <t>John Manuel</t>
        </is>
      </c>
      <c r="C141" t="inlineStr">
        <is>
          <t>TL</t>
        </is>
      </c>
      <c r="F141" t="inlineStr">
        <is>
          <t>10pm-8am</t>
        </is>
      </c>
      <c r="G141" t="inlineStr">
        <is>
          <t>10PM-12AM</t>
        </is>
      </c>
      <c r="H141" t="n">
        <v>2</v>
      </c>
      <c r="L141" t="inlineStr">
        <is>
          <t>migrated:TargetWeek30</t>
        </is>
      </c>
    </row>
    <row r="142">
      <c r="A142" t="inlineStr">
        <is>
          <t>2026-07-22</t>
        </is>
      </c>
      <c r="B142" t="inlineStr">
        <is>
          <t>Micko Tanedo</t>
        </is>
      </c>
      <c r="C142" t="inlineStr">
        <is>
          <t>TL</t>
        </is>
      </c>
      <c r="F142" t="inlineStr">
        <is>
          <t>9am-4pm</t>
        </is>
      </c>
      <c r="G142" t="inlineStr">
        <is>
          <t>4pm-6pm</t>
        </is>
      </c>
      <c r="H142" t="n">
        <v>2</v>
      </c>
      <c r="L142" t="inlineStr">
        <is>
          <t>migrated:TargetWeek30</t>
        </is>
      </c>
    </row>
    <row r="143">
      <c r="A143" t="inlineStr">
        <is>
          <t>2026-07-23</t>
        </is>
      </c>
      <c r="B143" t="inlineStr">
        <is>
          <t>Alyssa</t>
        </is>
      </c>
      <c r="C143" t="inlineStr">
        <is>
          <t>TL</t>
        </is>
      </c>
      <c r="F143" t="inlineStr">
        <is>
          <t>4pm-12am</t>
        </is>
      </c>
      <c r="G143" t="inlineStr">
        <is>
          <t>8:00am-9:30am</t>
        </is>
      </c>
      <c r="H143" t="n">
        <v>1.5</v>
      </c>
      <c r="L143" t="inlineStr">
        <is>
          <t>migrated:TargetWeek30</t>
        </is>
      </c>
    </row>
    <row r="144">
      <c r="A144" t="inlineStr">
        <is>
          <t>2026-07-23</t>
        </is>
      </c>
      <c r="B144" t="inlineStr">
        <is>
          <t>John Manuel</t>
        </is>
      </c>
      <c r="C144" t="inlineStr">
        <is>
          <t>TL</t>
        </is>
      </c>
      <c r="F144" t="inlineStr">
        <is>
          <t>CANCEL OFF</t>
        </is>
      </c>
      <c r="G144" t="inlineStr">
        <is>
          <t>8AM-10AM-10PM-12AM</t>
        </is>
      </c>
      <c r="H144" t="n">
        <v>4</v>
      </c>
      <c r="L144" t="inlineStr">
        <is>
          <t>migrated:TargetWeek30</t>
        </is>
      </c>
    </row>
    <row r="145">
      <c r="A145" t="inlineStr">
        <is>
          <t>2026-07-23</t>
        </is>
      </c>
      <c r="B145" t="inlineStr">
        <is>
          <t>Micko Tanedo</t>
        </is>
      </c>
      <c r="C145" t="inlineStr">
        <is>
          <t>TL</t>
        </is>
      </c>
      <c r="F145" t="inlineStr">
        <is>
          <t>8am-4pm</t>
        </is>
      </c>
      <c r="G145" t="inlineStr">
        <is>
          <t>7am-8am &amp; 4pm-5pm</t>
        </is>
      </c>
      <c r="H145" t="n">
        <v>2</v>
      </c>
      <c r="L145" t="inlineStr">
        <is>
          <t>migrated:TargetWeek30</t>
        </is>
      </c>
    </row>
    <row r="146">
      <c r="A146" t="inlineStr">
        <is>
          <t>2026-07-24</t>
        </is>
      </c>
      <c r="B146" t="inlineStr">
        <is>
          <t>John Manuel</t>
        </is>
      </c>
      <c r="C146" t="inlineStr">
        <is>
          <t>TL</t>
        </is>
      </c>
      <c r="F146" t="inlineStr">
        <is>
          <t>12am-8am</t>
        </is>
      </c>
      <c r="G146" t="inlineStr">
        <is>
          <t>8AM-10AM</t>
        </is>
      </c>
      <c r="H146" t="n">
        <v>2</v>
      </c>
      <c r="L146" t="inlineStr">
        <is>
          <t>migrated:TargetWeek30</t>
        </is>
      </c>
    </row>
    <row r="147">
      <c r="A147" t="inlineStr">
        <is>
          <t>2026-07-24</t>
        </is>
      </c>
      <c r="B147" t="inlineStr">
        <is>
          <t>Micko Tanedo</t>
        </is>
      </c>
      <c r="C147" t="inlineStr">
        <is>
          <t>TL</t>
        </is>
      </c>
      <c r="F147" t="inlineStr">
        <is>
          <t>OFF</t>
        </is>
      </c>
      <c r="G147" t="inlineStr">
        <is>
          <t>7am-12pm</t>
        </is>
      </c>
      <c r="H147" t="n">
        <v>5</v>
      </c>
      <c r="L147" t="inlineStr">
        <is>
          <t>migrated:TargetWeek30</t>
        </is>
      </c>
    </row>
    <row r="148">
      <c r="A148" t="inlineStr">
        <is>
          <t>2026-07-25</t>
        </is>
      </c>
      <c r="B148" t="inlineStr">
        <is>
          <t>Alyssa</t>
        </is>
      </c>
      <c r="C148" t="inlineStr">
        <is>
          <t>TL</t>
        </is>
      </c>
      <c r="F148" t="inlineStr">
        <is>
          <t>4pm-12am</t>
        </is>
      </c>
      <c r="G148" t="inlineStr">
        <is>
          <t>7am-11am</t>
        </is>
      </c>
      <c r="H148" t="n">
        <v>4</v>
      </c>
      <c r="L148" t="inlineStr">
        <is>
          <t>migrated:TargetWeek30</t>
        </is>
      </c>
    </row>
    <row r="149">
      <c r="A149" t="inlineStr">
        <is>
          <t>2026-07-25</t>
        </is>
      </c>
      <c r="B149" t="inlineStr">
        <is>
          <t>John Manuel</t>
        </is>
      </c>
      <c r="C149" t="inlineStr">
        <is>
          <t>TL</t>
        </is>
      </c>
      <c r="F149" t="inlineStr">
        <is>
          <t>CANCEL OFF</t>
        </is>
      </c>
      <c r="G149" t="inlineStr">
        <is>
          <t>8AM-10AM</t>
        </is>
      </c>
      <c r="H149" t="n">
        <v>2</v>
      </c>
      <c r="L149" t="inlineStr">
        <is>
          <t>migrated:TargetWeek30</t>
        </is>
      </c>
    </row>
    <row r="150">
      <c r="A150" t="inlineStr">
        <is>
          <t>2026-07-25</t>
        </is>
      </c>
      <c r="B150" t="inlineStr">
        <is>
          <t>Micko Tanedo</t>
        </is>
      </c>
      <c r="C150" t="inlineStr">
        <is>
          <t>TL</t>
        </is>
      </c>
      <c r="F150" t="inlineStr">
        <is>
          <t>8am-4pm</t>
        </is>
      </c>
      <c r="G150" t="inlineStr">
        <is>
          <t>7AM-8AM &amp; 4PM-5PM</t>
        </is>
      </c>
      <c r="H150" t="n">
        <v>2</v>
      </c>
      <c r="L150" t="inlineStr">
        <is>
          <t>migrated:TargetWeek30</t>
        </is>
      </c>
    </row>
    <row r="151">
      <c r="A151" t="inlineStr">
        <is>
          <t>2026-07-26</t>
        </is>
      </c>
      <c r="B151" t="inlineStr">
        <is>
          <t>John Manuel</t>
        </is>
      </c>
      <c r="C151" t="inlineStr">
        <is>
          <t>TL</t>
        </is>
      </c>
      <c r="F151" t="inlineStr">
        <is>
          <t>12am-8am</t>
        </is>
      </c>
      <c r="G151" t="inlineStr">
        <is>
          <t>8AM-10AM</t>
        </is>
      </c>
      <c r="H151" t="n">
        <v>2</v>
      </c>
      <c r="L151" t="inlineStr">
        <is>
          <t>migrated:TargetWeek31</t>
        </is>
      </c>
    </row>
    <row r="152">
      <c r="A152" t="inlineStr">
        <is>
          <t>2026-07-26</t>
        </is>
      </c>
      <c r="B152" t="inlineStr">
        <is>
          <t>Micko Tanedo</t>
        </is>
      </c>
      <c r="C152" t="inlineStr">
        <is>
          <t>TL</t>
        </is>
      </c>
      <c r="F152" t="inlineStr">
        <is>
          <t>OFF</t>
        </is>
      </c>
      <c r="G152" t="inlineStr">
        <is>
          <t>7am-9am</t>
        </is>
      </c>
      <c r="H152" t="n">
        <v>2</v>
      </c>
      <c r="L152" t="inlineStr">
        <is>
          <t>migrated:TargetWeek31</t>
        </is>
      </c>
    </row>
    <row r="153">
      <c r="A153" t="inlineStr">
        <is>
          <t>2026-07-27</t>
        </is>
      </c>
      <c r="B153" t="inlineStr">
        <is>
          <t>John Manuel</t>
        </is>
      </c>
      <c r="C153" t="inlineStr">
        <is>
          <t>TL</t>
        </is>
      </c>
      <c r="F153" t="inlineStr">
        <is>
          <t>12am-8am</t>
        </is>
      </c>
      <c r="G153" t="inlineStr">
        <is>
          <t>10PM-12AM</t>
        </is>
      </c>
      <c r="H153" t="n">
        <v>2</v>
      </c>
      <c r="L153" t="inlineStr">
        <is>
          <t>migrated:TargetWeek31</t>
        </is>
      </c>
    </row>
    <row r="154">
      <c r="A154" t="inlineStr">
        <is>
          <t>2026-07-27</t>
        </is>
      </c>
      <c r="B154" t="inlineStr">
        <is>
          <t>Micko Tanedo</t>
        </is>
      </c>
      <c r="C154" t="inlineStr">
        <is>
          <t>TL</t>
        </is>
      </c>
      <c r="F154" t="inlineStr">
        <is>
          <t>8am-4pm</t>
        </is>
      </c>
      <c r="G154" t="inlineStr">
        <is>
          <t>7am-8am &amp; 4pm-7:30pm</t>
        </is>
      </c>
      <c r="H154" t="n">
        <v>4.5</v>
      </c>
      <c r="L154" t="inlineStr">
        <is>
          <t>migrated:TargetWeek31</t>
        </is>
      </c>
    </row>
    <row r="155">
      <c r="A155" t="inlineStr">
        <is>
          <t>2026-07-28</t>
        </is>
      </c>
      <c r="B155" t="inlineStr">
        <is>
          <t>Alyssa</t>
        </is>
      </c>
      <c r="C155" t="inlineStr">
        <is>
          <t>TL</t>
        </is>
      </c>
      <c r="F155" t="inlineStr">
        <is>
          <t>3pm-10pm</t>
        </is>
      </c>
      <c r="G155" t="inlineStr">
        <is>
          <t>4am-9am&amp;10:30am-11am&amp;10pm-1:30am</t>
        </is>
      </c>
      <c r="H155" t="n">
        <v>9</v>
      </c>
      <c r="L155" t="inlineStr">
        <is>
          <t>migrated:TargetWeek31</t>
        </is>
      </c>
    </row>
    <row r="156">
      <c r="A156" t="inlineStr">
        <is>
          <t>2026-07-28</t>
        </is>
      </c>
      <c r="B156" t="inlineStr">
        <is>
          <t>John Manuel</t>
        </is>
      </c>
      <c r="C156" t="inlineStr">
        <is>
          <t>TL</t>
        </is>
      </c>
      <c r="F156" t="inlineStr">
        <is>
          <t>10pm-4am</t>
        </is>
      </c>
      <c r="G156" t="inlineStr">
        <is>
          <t>8AM-11AM</t>
        </is>
      </c>
      <c r="H156" t="n">
        <v>3</v>
      </c>
      <c r="L156" t="inlineStr">
        <is>
          <t>migrated:TargetWeek31</t>
        </is>
      </c>
    </row>
    <row r="157">
      <c r="A157" t="inlineStr">
        <is>
          <t>2026-07-28</t>
        </is>
      </c>
      <c r="B157" t="inlineStr">
        <is>
          <t>Micko Tanedo</t>
        </is>
      </c>
      <c r="C157" t="inlineStr">
        <is>
          <t>TL</t>
        </is>
      </c>
      <c r="F157" t="inlineStr">
        <is>
          <t>8am-3pm</t>
        </is>
      </c>
      <c r="G157" t="inlineStr">
        <is>
          <t>7am-8am &amp; 3pm-7pm-</t>
        </is>
      </c>
      <c r="H157" t="n">
        <v>5</v>
      </c>
      <c r="L157" t="inlineStr">
        <is>
          <t>migrated:TargetWeek31</t>
        </is>
      </c>
    </row>
    <row r="158">
      <c r="A158" t="inlineStr">
        <is>
          <t>2026-07-29</t>
        </is>
      </c>
      <c r="B158" t="inlineStr">
        <is>
          <t>Alyssa</t>
        </is>
      </c>
      <c r="C158" t="inlineStr">
        <is>
          <t>TL</t>
        </is>
      </c>
      <c r="F158" t="inlineStr">
        <is>
          <t>4pm-12am</t>
        </is>
      </c>
      <c r="G158" t="inlineStr">
        <is>
          <t>4AM-9AM</t>
        </is>
      </c>
      <c r="H158" t="n">
        <v>5</v>
      </c>
      <c r="L158" t="inlineStr">
        <is>
          <t>migrated:TargetWeek31</t>
        </is>
      </c>
    </row>
    <row r="159">
      <c r="A159" t="inlineStr">
        <is>
          <t>2026-07-29</t>
        </is>
      </c>
      <c r="B159" t="inlineStr">
        <is>
          <t>John Manuel</t>
        </is>
      </c>
      <c r="C159" t="inlineStr">
        <is>
          <t>TL</t>
        </is>
      </c>
      <c r="F159" t="inlineStr">
        <is>
          <t>10pm-8am</t>
        </is>
      </c>
      <c r="G159" t="inlineStr">
        <is>
          <t>10PM-12AM</t>
        </is>
      </c>
      <c r="H159" t="n">
        <v>2</v>
      </c>
      <c r="L159" t="inlineStr">
        <is>
          <t>migrated:TargetWeek31</t>
        </is>
      </c>
    </row>
    <row r="160">
      <c r="A160" t="inlineStr">
        <is>
          <t>2026-07-29</t>
        </is>
      </c>
      <c r="B160" t="inlineStr">
        <is>
          <t>Micko Tanedo</t>
        </is>
      </c>
      <c r="C160" t="inlineStr">
        <is>
          <t>TL</t>
        </is>
      </c>
      <c r="F160" t="inlineStr">
        <is>
          <t>9am-4pm</t>
        </is>
      </c>
      <c r="G160" t="inlineStr">
        <is>
          <t>4pm-7pm</t>
        </is>
      </c>
      <c r="H160" t="n">
        <v>3</v>
      </c>
      <c r="L160" t="inlineStr">
        <is>
          <t>migrated:TargetWeek31</t>
        </is>
      </c>
    </row>
    <row r="161">
      <c r="A161" t="inlineStr">
        <is>
          <t>2026-07-30</t>
        </is>
      </c>
      <c r="B161" t="inlineStr">
        <is>
          <t>Alyssa</t>
        </is>
      </c>
      <c r="C161" t="inlineStr">
        <is>
          <t>TL</t>
        </is>
      </c>
      <c r="F161" t="inlineStr">
        <is>
          <t>OFF</t>
        </is>
      </c>
      <c r="G161" t="inlineStr">
        <is>
          <t>4pm-4:30pm&amp;6pm-10:30pm</t>
        </is>
      </c>
      <c r="H161" t="n">
        <v>5.5</v>
      </c>
      <c r="L161" t="inlineStr">
        <is>
          <t>migrated:TargetWeek31</t>
        </is>
      </c>
    </row>
    <row r="162">
      <c r="A162" t="inlineStr">
        <is>
          <t>2026-07-30</t>
        </is>
      </c>
      <c r="B162" t="inlineStr">
        <is>
          <t>John Manuel</t>
        </is>
      </c>
      <c r="C162" t="inlineStr">
        <is>
          <t>TL</t>
        </is>
      </c>
      <c r="F162" t="inlineStr">
        <is>
          <t>CANCEL OFF</t>
        </is>
      </c>
      <c r="G162" t="inlineStr">
        <is>
          <t>8AM-11AM&amp;8PM-12AM</t>
        </is>
      </c>
      <c r="H162" t="n">
        <v>5</v>
      </c>
      <c r="L162" t="inlineStr">
        <is>
          <t>migrated:TargetWeek31</t>
        </is>
      </c>
    </row>
    <row r="163">
      <c r="A163" t="inlineStr">
        <is>
          <t>2026-07-30</t>
        </is>
      </c>
      <c r="B163" t="inlineStr">
        <is>
          <t>Micko Tanedo</t>
        </is>
      </c>
      <c r="C163" t="inlineStr">
        <is>
          <t>TL</t>
        </is>
      </c>
      <c r="F163" t="inlineStr">
        <is>
          <t>8am-4pm</t>
        </is>
      </c>
      <c r="G163" t="inlineStr">
        <is>
          <t>7am-8am &amp; 4pm-7pm</t>
        </is>
      </c>
      <c r="H163" t="n">
        <v>4</v>
      </c>
      <c r="L163" t="inlineStr">
        <is>
          <t>migrated:TargetWeek31</t>
        </is>
      </c>
    </row>
    <row r="164">
      <c r="A164" t="inlineStr">
        <is>
          <t>2026-07-31</t>
        </is>
      </c>
      <c r="B164" t="inlineStr">
        <is>
          <t>John Manuel</t>
        </is>
      </c>
      <c r="C164" t="inlineStr">
        <is>
          <t>TL</t>
        </is>
      </c>
      <c r="F164" t="inlineStr">
        <is>
          <t>12am-8am</t>
        </is>
      </c>
      <c r="G164" t="inlineStr">
        <is>
          <t>8AM-11AM&amp;10PM-12AM</t>
        </is>
      </c>
      <c r="H164" t="n">
        <v>5</v>
      </c>
      <c r="L164" t="inlineStr">
        <is>
          <t>migrated:TargetWeek31</t>
        </is>
      </c>
    </row>
    <row r="165">
      <c r="A165" t="inlineStr">
        <is>
          <t>2026-07-31</t>
        </is>
      </c>
      <c r="B165" t="inlineStr">
        <is>
          <t>Micko Tanedo</t>
        </is>
      </c>
      <c r="C165" t="inlineStr">
        <is>
          <t>TL</t>
        </is>
      </c>
      <c r="F165" t="inlineStr">
        <is>
          <t>OFF</t>
        </is>
      </c>
      <c r="G165" t="inlineStr">
        <is>
          <t>7am-10am</t>
        </is>
      </c>
      <c r="H165" t="n">
        <v>3</v>
      </c>
      <c r="L165" t="inlineStr">
        <is>
          <t>migrated:TargetWeek31</t>
        </is>
      </c>
    </row>
    <row r="166">
      <c r="A166" t="inlineStr">
        <is>
          <t>2026-08-01</t>
        </is>
      </c>
      <c r="B166" t="inlineStr">
        <is>
          <t>Alyssa</t>
        </is>
      </c>
      <c r="C166" t="inlineStr">
        <is>
          <t>TL</t>
        </is>
      </c>
      <c r="F166" t="inlineStr">
        <is>
          <t>4pm-12am</t>
        </is>
      </c>
      <c r="G166" t="inlineStr">
        <is>
          <t>10:00AM-11:30AM&amp; 6AM-7AM</t>
        </is>
      </c>
      <c r="H166" t="n">
        <v>3.5</v>
      </c>
      <c r="L166" t="inlineStr">
        <is>
          <t>migrated:TargetWeek31</t>
        </is>
      </c>
    </row>
    <row r="167">
      <c r="A167" t="inlineStr">
        <is>
          <t>2026-08-01</t>
        </is>
      </c>
      <c r="B167" t="inlineStr">
        <is>
          <t>John Manuel</t>
        </is>
      </c>
      <c r="C167" t="inlineStr">
        <is>
          <t>TL</t>
        </is>
      </c>
      <c r="F167" t="inlineStr">
        <is>
          <t>CANCEL OFF</t>
        </is>
      </c>
      <c r="G167" t="inlineStr">
        <is>
          <t>8AM-11AM&amp;9;30PM-12AM</t>
        </is>
      </c>
      <c r="H167" t="n">
        <v>5.5</v>
      </c>
      <c r="L167" t="inlineStr">
        <is>
          <t>migrated:TargetWeek31</t>
        </is>
      </c>
    </row>
    <row r="168">
      <c r="A168" t="inlineStr">
        <is>
          <t>2026-08-01</t>
        </is>
      </c>
      <c r="B168" t="inlineStr">
        <is>
          <t>Micko Tanedo</t>
        </is>
      </c>
      <c r="C168" t="inlineStr">
        <is>
          <t>TL</t>
        </is>
      </c>
      <c r="F168" t="inlineStr">
        <is>
          <t>8am-4pm</t>
        </is>
      </c>
      <c r="G168" t="inlineStr">
        <is>
          <t>7am-8am &amp; 4pm-6pm</t>
        </is>
      </c>
      <c r="H168" t="n">
        <v>3</v>
      </c>
      <c r="L168" t="inlineStr">
        <is>
          <t>migrated:TargetWeek31</t>
        </is>
      </c>
    </row>
    <row r="169">
      <c r="A169" t="inlineStr">
        <is>
          <t>2026-08-02</t>
        </is>
      </c>
      <c r="B169" t="inlineStr">
        <is>
          <t>John Manuel</t>
        </is>
      </c>
      <c r="C169" t="inlineStr">
        <is>
          <t>TL</t>
        </is>
      </c>
      <c r="F169" t="inlineStr">
        <is>
          <t>12am-8am</t>
        </is>
      </c>
      <c r="G169" t="inlineStr">
        <is>
          <t>8AM-11AM&amp;10PM-12AM</t>
        </is>
      </c>
      <c r="H169" t="n">
        <v>5</v>
      </c>
      <c r="L169" t="inlineStr">
        <is>
          <t>migrated:TargetWeek32</t>
        </is>
      </c>
    </row>
    <row r="170">
      <c r="A170" t="inlineStr">
        <is>
          <t>2026-08-02</t>
        </is>
      </c>
      <c r="B170" t="inlineStr">
        <is>
          <t>Micko Tanedo</t>
        </is>
      </c>
      <c r="C170" t="inlineStr">
        <is>
          <t>TL</t>
        </is>
      </c>
      <c r="F170" t="inlineStr">
        <is>
          <t>OFF</t>
        </is>
      </c>
      <c r="G170" t="inlineStr">
        <is>
          <t>7am-12pm</t>
        </is>
      </c>
      <c r="H170" t="n">
        <v>5</v>
      </c>
      <c r="L170" t="inlineStr">
        <is>
          <t>migrated:TargetWeek32</t>
        </is>
      </c>
    </row>
    <row r="171">
      <c r="A171" t="inlineStr">
        <is>
          <t>2026-08-03</t>
        </is>
      </c>
      <c r="B171" t="inlineStr">
        <is>
          <t>John Manuel</t>
        </is>
      </c>
      <c r="C171" t="inlineStr">
        <is>
          <t>TL</t>
        </is>
      </c>
      <c r="F171" t="inlineStr">
        <is>
          <t>12am-8am</t>
        </is>
      </c>
      <c r="G171" t="inlineStr">
        <is>
          <t>8AM-11AM&amp;10PM-12AM</t>
        </is>
      </c>
      <c r="H171" t="n">
        <v>5</v>
      </c>
      <c r="L171" t="inlineStr">
        <is>
          <t>migrated:TargetWeek32</t>
        </is>
      </c>
    </row>
    <row r="172">
      <c r="A172" t="inlineStr">
        <is>
          <t>2026-08-03</t>
        </is>
      </c>
      <c r="B172" t="inlineStr">
        <is>
          <t>Micko Tanedo</t>
        </is>
      </c>
      <c r="C172" t="inlineStr">
        <is>
          <t>TL</t>
        </is>
      </c>
      <c r="F172" t="inlineStr">
        <is>
          <t>8am-4pm</t>
        </is>
      </c>
      <c r="G172" t="inlineStr">
        <is>
          <t>7am-8am &amp; 4pm-8pm</t>
        </is>
      </c>
      <c r="H172" t="n">
        <v>5</v>
      </c>
      <c r="L172" t="inlineStr">
        <is>
          <t>migrated:TargetWeek32</t>
        </is>
      </c>
    </row>
    <row r="173">
      <c r="A173" t="inlineStr">
        <is>
          <t>2026-08-04</t>
        </is>
      </c>
      <c r="B173" t="inlineStr">
        <is>
          <t>John Manuel</t>
        </is>
      </c>
      <c r="C173" t="inlineStr">
        <is>
          <t>TL</t>
        </is>
      </c>
      <c r="F173" t="inlineStr">
        <is>
          <t>10pm-4am</t>
        </is>
      </c>
      <c r="G173" t="inlineStr">
        <is>
          <t>8AM-10AM</t>
        </is>
      </c>
      <c r="H173" t="n">
        <v>2</v>
      </c>
      <c r="L173" t="inlineStr">
        <is>
          <t>migrated:TargetWeek32</t>
        </is>
      </c>
    </row>
    <row r="174">
      <c r="A174" t="inlineStr">
        <is>
          <t>2026-08-04</t>
        </is>
      </c>
      <c r="B174" t="inlineStr">
        <is>
          <t>Micko Tanedo</t>
        </is>
      </c>
      <c r="C174" t="inlineStr">
        <is>
          <t>TL</t>
        </is>
      </c>
      <c r="F174" t="inlineStr">
        <is>
          <t>8am-3pm</t>
        </is>
      </c>
      <c r="G174" t="inlineStr">
        <is>
          <t>7am-8am &amp; 4pm-6pm</t>
        </is>
      </c>
      <c r="H174" t="n">
        <v>3</v>
      </c>
      <c r="L174" t="inlineStr">
        <is>
          <t>migrated:TargetWeek32</t>
        </is>
      </c>
    </row>
    <row r="175">
      <c r="A175" t="inlineStr">
        <is>
          <t>2026-08-05</t>
        </is>
      </c>
      <c r="B175" t="inlineStr">
        <is>
          <t>Alyssa</t>
        </is>
      </c>
      <c r="C175" t="inlineStr">
        <is>
          <t>TL</t>
        </is>
      </c>
      <c r="F175" t="inlineStr">
        <is>
          <t>4pm-12am</t>
        </is>
      </c>
      <c r="G175" t="inlineStr">
        <is>
          <t>9am-12pm</t>
        </is>
      </c>
      <c r="H175" t="n">
        <v>3</v>
      </c>
      <c r="L175" t="inlineStr">
        <is>
          <t>migrated:TargetWeek32</t>
        </is>
      </c>
    </row>
    <row r="176">
      <c r="A176" t="inlineStr">
        <is>
          <t>2026-08-05</t>
        </is>
      </c>
      <c r="B176" t="inlineStr">
        <is>
          <t>John Manuel</t>
        </is>
      </c>
      <c r="C176" t="inlineStr">
        <is>
          <t>TL</t>
        </is>
      </c>
      <c r="F176" t="inlineStr">
        <is>
          <t>12am-8am</t>
        </is>
      </c>
      <c r="G176" t="inlineStr">
        <is>
          <t>11AM-2PM%9PM-12AM</t>
        </is>
      </c>
      <c r="H176" t="n">
        <v>6</v>
      </c>
      <c r="L176" t="inlineStr">
        <is>
          <t>migrated:TargetWeek32</t>
        </is>
      </c>
    </row>
    <row r="177">
      <c r="A177" t="inlineStr">
        <is>
          <t>2026-08-05</t>
        </is>
      </c>
      <c r="B177" t="inlineStr">
        <is>
          <t>Micko Tanedo</t>
        </is>
      </c>
      <c r="C177" t="inlineStr">
        <is>
          <t>TL</t>
        </is>
      </c>
      <c r="F177" t="inlineStr">
        <is>
          <t>9am-4pm</t>
        </is>
      </c>
      <c r="G177" t="inlineStr">
        <is>
          <t>4pm-7pm</t>
        </is>
      </c>
      <c r="H177" t="n">
        <v>3</v>
      </c>
      <c r="L177" t="inlineStr">
        <is>
          <t>migrated:TargetWeek32</t>
        </is>
      </c>
    </row>
    <row r="178">
      <c r="A178" t="inlineStr">
        <is>
          <t>2026-08-06</t>
        </is>
      </c>
      <c r="B178" t="inlineStr">
        <is>
          <t>Alyssa</t>
        </is>
      </c>
      <c r="C178" t="inlineStr">
        <is>
          <t>TL</t>
        </is>
      </c>
      <c r="F178" t="inlineStr">
        <is>
          <t>CANCEL OFF</t>
        </is>
      </c>
      <c r="G178" t="inlineStr">
        <is>
          <t>1PM-4PM</t>
        </is>
      </c>
      <c r="H178" t="n">
        <v>3</v>
      </c>
      <c r="L178" t="inlineStr">
        <is>
          <t>migrated:TargetWeek32</t>
        </is>
      </c>
    </row>
    <row r="179">
      <c r="A179" t="inlineStr">
        <is>
          <t>2026-08-06</t>
        </is>
      </c>
      <c r="B179" t="inlineStr">
        <is>
          <t>John Manuel</t>
        </is>
      </c>
      <c r="C179" t="inlineStr">
        <is>
          <t>TL</t>
        </is>
      </c>
      <c r="F179" t="inlineStr">
        <is>
          <t>CANCEL OFF</t>
        </is>
      </c>
      <c r="G179" t="inlineStr">
        <is>
          <t>8AM-10AM&amp;10PM-12AM</t>
        </is>
      </c>
      <c r="H179" t="n">
        <v>4</v>
      </c>
      <c r="L179" t="inlineStr">
        <is>
          <t>migrated:TargetWeek32</t>
        </is>
      </c>
    </row>
    <row r="180">
      <c r="A180" t="inlineStr">
        <is>
          <t>2026-08-06</t>
        </is>
      </c>
      <c r="B180" t="inlineStr">
        <is>
          <t>Micko Tanedo</t>
        </is>
      </c>
      <c r="C180" t="inlineStr">
        <is>
          <t>TL</t>
        </is>
      </c>
      <c r="F180" t="inlineStr">
        <is>
          <t>8am-4pm</t>
        </is>
      </c>
      <c r="G180" t="inlineStr">
        <is>
          <t>7am-8am &amp; 4pm-8pm</t>
        </is>
      </c>
      <c r="H180" t="n">
        <v>5</v>
      </c>
      <c r="L180" t="inlineStr">
        <is>
          <t>migrated:TargetWeek32</t>
        </is>
      </c>
    </row>
    <row r="181">
      <c r="A181" t="inlineStr">
        <is>
          <t>2026-08-07</t>
        </is>
      </c>
      <c r="B181" t="inlineStr">
        <is>
          <t>Alyssa</t>
        </is>
      </c>
      <c r="C181" t="inlineStr">
        <is>
          <t>TL</t>
        </is>
      </c>
      <c r="F181" t="inlineStr">
        <is>
          <t>4pm-12am</t>
        </is>
      </c>
      <c r="G181" t="inlineStr">
        <is>
          <t>1PM-4PM&amp;12AM-2AM</t>
        </is>
      </c>
      <c r="H181" t="n">
        <v>5</v>
      </c>
      <c r="L181" t="inlineStr">
        <is>
          <t>migrated:TargetWeek32</t>
        </is>
      </c>
    </row>
    <row r="182">
      <c r="A182" t="inlineStr">
        <is>
          <t>2026-08-07</t>
        </is>
      </c>
      <c r="B182" t="inlineStr">
        <is>
          <t>John Manuel</t>
        </is>
      </c>
      <c r="C182" t="inlineStr">
        <is>
          <t>TL</t>
        </is>
      </c>
      <c r="F182" t="inlineStr">
        <is>
          <t>12am-8am</t>
        </is>
      </c>
      <c r="G182" t="inlineStr">
        <is>
          <t>8AM-10AM&amp;10PM-12AM</t>
        </is>
      </c>
      <c r="H182" t="n">
        <v>4</v>
      </c>
      <c r="L182" t="inlineStr">
        <is>
          <t>migrated:TargetWeek32</t>
        </is>
      </c>
    </row>
    <row r="183">
      <c r="A183" t="inlineStr">
        <is>
          <t>2026-08-07</t>
        </is>
      </c>
      <c r="B183" t="inlineStr">
        <is>
          <t>Micko Tanedo</t>
        </is>
      </c>
      <c r="C183" t="inlineStr">
        <is>
          <t>TL</t>
        </is>
      </c>
      <c r="F183" t="inlineStr">
        <is>
          <t>CANCEL OFF</t>
        </is>
      </c>
      <c r="G183" t="inlineStr">
        <is>
          <t>7am-8am &amp; 4pm-8pm</t>
        </is>
      </c>
      <c r="H183" t="n">
        <v>5</v>
      </c>
      <c r="L183" t="inlineStr">
        <is>
          <t>migrated:TargetWeek32</t>
        </is>
      </c>
    </row>
    <row r="184">
      <c r="A184" t="inlineStr">
        <is>
          <t>2026-08-08</t>
        </is>
      </c>
      <c r="B184" t="inlineStr">
        <is>
          <t>Alyssa</t>
        </is>
      </c>
      <c r="C184" t="inlineStr">
        <is>
          <t>TL</t>
        </is>
      </c>
      <c r="F184" t="inlineStr">
        <is>
          <t>Cancel OFF</t>
        </is>
      </c>
      <c r="G184" t="inlineStr">
        <is>
          <t>12am-2am</t>
        </is>
      </c>
      <c r="H184" t="n">
        <v>2</v>
      </c>
      <c r="L184" t="inlineStr">
        <is>
          <t>migrated:TargetWeek28</t>
        </is>
      </c>
    </row>
    <row r="185">
      <c r="A185" t="inlineStr">
        <is>
          <t>2026-08-08</t>
        </is>
      </c>
      <c r="B185" t="inlineStr">
        <is>
          <t>Alyssa</t>
        </is>
      </c>
      <c r="C185" t="inlineStr">
        <is>
          <t>TL</t>
        </is>
      </c>
      <c r="F185" t="inlineStr">
        <is>
          <t>4pm-12am</t>
        </is>
      </c>
      <c r="G185" t="inlineStr">
        <is>
          <t>1PM-4PM&amp;7AM-9AM</t>
        </is>
      </c>
      <c r="H185" t="n">
        <v>5</v>
      </c>
      <c r="L185" t="inlineStr">
        <is>
          <t>migrated:TargetWeek32</t>
        </is>
      </c>
    </row>
    <row r="186">
      <c r="A186" t="inlineStr">
        <is>
          <t>2026-08-08</t>
        </is>
      </c>
      <c r="B186" t="inlineStr">
        <is>
          <t>John Manuel</t>
        </is>
      </c>
      <c r="C186" t="inlineStr">
        <is>
          <t>TL</t>
        </is>
      </c>
      <c r="F186" t="inlineStr">
        <is>
          <t>10pm-8am</t>
        </is>
      </c>
      <c r="G186" t="inlineStr">
        <is>
          <t>8AM-10AM</t>
        </is>
      </c>
      <c r="H186" t="n">
        <v>2</v>
      </c>
      <c r="L186" t="inlineStr">
        <is>
          <t>migrated:TargetWeek28</t>
        </is>
      </c>
    </row>
    <row r="187">
      <c r="A187" t="inlineStr">
        <is>
          <t>2026-08-08</t>
        </is>
      </c>
      <c r="B187" t="inlineStr">
        <is>
          <t>John Manuel</t>
        </is>
      </c>
      <c r="C187" t="inlineStr">
        <is>
          <t>TL</t>
        </is>
      </c>
      <c r="F187" t="inlineStr">
        <is>
          <t>OFF</t>
        </is>
      </c>
      <c r="G187" t="inlineStr">
        <is>
          <t>6.5HOURS</t>
        </is>
      </c>
      <c r="H187" t="n">
        <v>8</v>
      </c>
      <c r="L187" t="inlineStr">
        <is>
          <t>migrated:TargetWeek32</t>
        </is>
      </c>
    </row>
    <row r="188">
      <c r="A188" t="inlineStr">
        <is>
          <t>2026-08-08</t>
        </is>
      </c>
      <c r="B188" t="inlineStr">
        <is>
          <t>Micko Tanedo</t>
        </is>
      </c>
      <c r="C188" t="inlineStr">
        <is>
          <t>TL</t>
        </is>
      </c>
      <c r="F188" t="inlineStr">
        <is>
          <t>Cancel OFF</t>
        </is>
      </c>
      <c r="G188" t="inlineStr">
        <is>
          <t>4pm-7pm</t>
        </is>
      </c>
      <c r="H188" t="n">
        <v>3</v>
      </c>
      <c r="L188" t="inlineStr">
        <is>
          <t>migrated:TargetWeek28</t>
        </is>
      </c>
    </row>
    <row r="189">
      <c r="A189" t="inlineStr">
        <is>
          <t>2026-08-08</t>
        </is>
      </c>
      <c r="B189" t="inlineStr">
        <is>
          <t>Micko Tanedo</t>
        </is>
      </c>
      <c r="C189" t="inlineStr">
        <is>
          <t>TL</t>
        </is>
      </c>
      <c r="F189" t="inlineStr">
        <is>
          <t>8am-4pm</t>
        </is>
      </c>
      <c r="G189" t="inlineStr">
        <is>
          <t>7am-8am &amp; 4pm-6pm</t>
        </is>
      </c>
      <c r="H189" t="n">
        <v>3</v>
      </c>
      <c r="L189" t="inlineStr">
        <is>
          <t>migrated:TargetWeek32</t>
        </is>
      </c>
    </row>
    <row r="190">
      <c r="A190" t="inlineStr">
        <is>
          <t>2026-08-09</t>
        </is>
      </c>
      <c r="B190" t="inlineStr">
        <is>
          <t>Alyssa</t>
        </is>
      </c>
      <c r="C190" t="inlineStr">
        <is>
          <t>TL</t>
        </is>
      </c>
      <c r="F190" t="inlineStr">
        <is>
          <t>CANCEL OFF</t>
        </is>
      </c>
      <c r="G190" t="inlineStr">
        <is>
          <t>12am-2am</t>
        </is>
      </c>
      <c r="H190" t="n">
        <v>3</v>
      </c>
      <c r="L190" t="inlineStr">
        <is>
          <t>migrated:TargetWeek33</t>
        </is>
      </c>
    </row>
    <row r="191">
      <c r="A191" t="inlineStr">
        <is>
          <t>2026-08-09</t>
        </is>
      </c>
      <c r="B191" t="inlineStr">
        <is>
          <t>John Manuel</t>
        </is>
      </c>
      <c r="C191" t="inlineStr">
        <is>
          <t>TL</t>
        </is>
      </c>
      <c r="F191" t="inlineStr">
        <is>
          <t>12am-8am</t>
        </is>
      </c>
      <c r="G191" t="inlineStr">
        <is>
          <t>9AM-10AM-4PM-6PM&amp;10PM-12AM</t>
        </is>
      </c>
      <c r="H191" t="n">
        <v>5</v>
      </c>
      <c r="L191" t="inlineStr">
        <is>
          <t>migrated:TargetWeek33</t>
        </is>
      </c>
    </row>
    <row r="192">
      <c r="A192" t="inlineStr">
        <is>
          <t>2026-08-09</t>
        </is>
      </c>
      <c r="B192" t="inlineStr">
        <is>
          <t>Micko Tanedo</t>
        </is>
      </c>
      <c r="C192" t="inlineStr">
        <is>
          <t>TL</t>
        </is>
      </c>
      <c r="F192" t="inlineStr">
        <is>
          <t>OFF</t>
        </is>
      </c>
      <c r="G192" t="inlineStr">
        <is>
          <t>7am-12pm</t>
        </is>
      </c>
      <c r="H192" t="n">
        <v>5</v>
      </c>
      <c r="L192" t="inlineStr">
        <is>
          <t>migrated:TargetWeek33</t>
        </is>
      </c>
    </row>
    <row r="193">
      <c r="A193" t="inlineStr">
        <is>
          <t>2026-08-10</t>
        </is>
      </c>
      <c r="B193" t="inlineStr">
        <is>
          <t>Alyssa</t>
        </is>
      </c>
      <c r="C193" t="inlineStr">
        <is>
          <t>TL</t>
        </is>
      </c>
      <c r="F193" t="inlineStr">
        <is>
          <t>4pm-12am</t>
        </is>
      </c>
      <c r="G193" t="inlineStr">
        <is>
          <t>1PM-3PM</t>
        </is>
      </c>
      <c r="H193" t="n">
        <v>3</v>
      </c>
      <c r="L193" t="inlineStr">
        <is>
          <t>migrated:TargetWeek33</t>
        </is>
      </c>
    </row>
    <row r="194">
      <c r="A194" t="inlineStr">
        <is>
          <t>2026-08-10</t>
        </is>
      </c>
      <c r="B194" t="inlineStr">
        <is>
          <t>John Manuel</t>
        </is>
      </c>
      <c r="C194" t="inlineStr">
        <is>
          <t>TL</t>
        </is>
      </c>
      <c r="F194" t="inlineStr">
        <is>
          <t>12am-8am</t>
        </is>
      </c>
      <c r="G194" t="inlineStr">
        <is>
          <t>8AM-11AM&amp;10PM-12AM</t>
        </is>
      </c>
      <c r="H194" t="n">
        <v>5</v>
      </c>
      <c r="L194" t="inlineStr">
        <is>
          <t>migrated:TargetWeek33</t>
        </is>
      </c>
    </row>
    <row r="195">
      <c r="A195" t="inlineStr">
        <is>
          <t>2026-08-10</t>
        </is>
      </c>
      <c r="B195" t="inlineStr">
        <is>
          <t>Micko Tanedo</t>
        </is>
      </c>
      <c r="C195" t="inlineStr">
        <is>
          <t>TL</t>
        </is>
      </c>
      <c r="F195" t="inlineStr">
        <is>
          <t>8am-4pm</t>
        </is>
      </c>
      <c r="G195" t="inlineStr">
        <is>
          <t>7am-8am &amp; 4pm-8pm</t>
        </is>
      </c>
      <c r="H195" t="n">
        <v>5</v>
      </c>
      <c r="L195" t="inlineStr">
        <is>
          <t>migrated:TargetWeek33</t>
        </is>
      </c>
    </row>
    <row r="196">
      <c r="A196" t="inlineStr">
        <is>
          <t>2026-08-11</t>
        </is>
      </c>
      <c r="B196" t="inlineStr">
        <is>
          <t>Alyssa</t>
        </is>
      </c>
      <c r="C196" t="inlineStr">
        <is>
          <t>TL</t>
        </is>
      </c>
      <c r="F196" t="inlineStr">
        <is>
          <t>3pm-10pm</t>
        </is>
      </c>
      <c r="G196" t="inlineStr">
        <is>
          <t>11AM-1PM&amp;10PM-1AM</t>
        </is>
      </c>
      <c r="H196" t="n">
        <v>5</v>
      </c>
      <c r="L196" t="inlineStr">
        <is>
          <t>migrated:TargetWeek33</t>
        </is>
      </c>
    </row>
    <row r="197">
      <c r="A197" t="inlineStr">
        <is>
          <t>2026-08-11</t>
        </is>
      </c>
      <c r="B197" t="inlineStr">
        <is>
          <t>John Manuel</t>
        </is>
      </c>
      <c r="C197" t="inlineStr">
        <is>
          <t>TL</t>
        </is>
      </c>
      <c r="F197" t="inlineStr">
        <is>
          <t>10pm-4am</t>
        </is>
      </c>
      <c r="G197" t="inlineStr">
        <is>
          <t>8AM-10AM</t>
        </is>
      </c>
      <c r="H197" t="n">
        <v>2</v>
      </c>
      <c r="L197" t="inlineStr">
        <is>
          <t>migrated:TargetWeek33</t>
        </is>
      </c>
    </row>
    <row r="198">
      <c r="A198" t="inlineStr">
        <is>
          <t>2026-08-11</t>
        </is>
      </c>
      <c r="B198" t="inlineStr">
        <is>
          <t>Micko Tanedo</t>
        </is>
      </c>
      <c r="C198" t="inlineStr">
        <is>
          <t>TL</t>
        </is>
      </c>
      <c r="F198" t="inlineStr">
        <is>
          <t>8am-4pm</t>
        </is>
      </c>
      <c r="G198" t="inlineStr">
        <is>
          <t>7am-8am &amp; 4pm-8pm</t>
        </is>
      </c>
      <c r="H198" t="n">
        <v>5</v>
      </c>
      <c r="L198" t="inlineStr">
        <is>
          <t>migrated:TargetWeek33</t>
        </is>
      </c>
    </row>
    <row r="199">
      <c r="A199" t="inlineStr">
        <is>
          <t>2026-08-12</t>
        </is>
      </c>
      <c r="B199" t="inlineStr">
        <is>
          <t>Alyssa</t>
        </is>
      </c>
      <c r="C199" t="inlineStr">
        <is>
          <t>TL</t>
        </is>
      </c>
      <c r="F199" t="inlineStr">
        <is>
          <t>4pm-12am</t>
        </is>
      </c>
      <c r="G199" t="inlineStr">
        <is>
          <t>3PM-4PM</t>
        </is>
      </c>
      <c r="H199" t="n">
        <v>1</v>
      </c>
      <c r="L199" t="inlineStr">
        <is>
          <t>migrated:TargetWeek33</t>
        </is>
      </c>
    </row>
    <row r="200">
      <c r="A200" t="inlineStr">
        <is>
          <t>2026-08-12</t>
        </is>
      </c>
      <c r="B200" t="inlineStr">
        <is>
          <t>John Manuel</t>
        </is>
      </c>
      <c r="C200" t="inlineStr">
        <is>
          <t>TL</t>
        </is>
      </c>
      <c r="F200" t="inlineStr">
        <is>
          <t>12am-8am</t>
        </is>
      </c>
      <c r="G200" t="inlineStr">
        <is>
          <t>10AM-11AM&amp;10PM-12AM</t>
        </is>
      </c>
      <c r="H200" t="n">
        <v>3</v>
      </c>
      <c r="L200" t="inlineStr">
        <is>
          <t>migrated:TargetWeek33</t>
        </is>
      </c>
    </row>
    <row r="201">
      <c r="A201" t="inlineStr">
        <is>
          <t>2026-08-12</t>
        </is>
      </c>
      <c r="B201" t="inlineStr">
        <is>
          <t>Micko Tanedo</t>
        </is>
      </c>
      <c r="C201" t="inlineStr">
        <is>
          <t>TL</t>
        </is>
      </c>
      <c r="F201" t="inlineStr">
        <is>
          <t>9am-4pm</t>
        </is>
      </c>
      <c r="G201" t="inlineStr">
        <is>
          <t>4pm-8pm</t>
        </is>
      </c>
      <c r="H201" t="n">
        <v>4</v>
      </c>
      <c r="L201" t="inlineStr">
        <is>
          <t>migrated:TargetWeek33</t>
        </is>
      </c>
    </row>
    <row r="202">
      <c r="A202" t="inlineStr">
        <is>
          <t>2026-08-13</t>
        </is>
      </c>
      <c r="B202" t="inlineStr">
        <is>
          <t>Alyssa</t>
        </is>
      </c>
      <c r="C202" t="inlineStr">
        <is>
          <t>TL</t>
        </is>
      </c>
      <c r="F202" t="inlineStr">
        <is>
          <t>CANCEL OFF</t>
        </is>
      </c>
      <c r="G202" t="inlineStr">
        <is>
          <t>3PM-4PM</t>
        </is>
      </c>
      <c r="H202" t="n">
        <v>1</v>
      </c>
      <c r="L202" t="inlineStr">
        <is>
          <t>migrated:TargetWeek33</t>
        </is>
      </c>
    </row>
    <row r="203">
      <c r="A203" t="inlineStr">
        <is>
          <t>2026-08-13</t>
        </is>
      </c>
      <c r="B203" t="inlineStr">
        <is>
          <t>John Manuel</t>
        </is>
      </c>
      <c r="C203" t="inlineStr">
        <is>
          <t>TL</t>
        </is>
      </c>
      <c r="F203" t="inlineStr">
        <is>
          <t>CANCEL OFF</t>
        </is>
      </c>
      <c r="G203" t="inlineStr">
        <is>
          <t>8AM-11AM&amp;9PM-12AM</t>
        </is>
      </c>
      <c r="H203" t="n">
        <v>6</v>
      </c>
      <c r="L203" t="inlineStr">
        <is>
          <t>migrated:TargetWeek33</t>
        </is>
      </c>
    </row>
    <row r="204">
      <c r="A204" t="inlineStr">
        <is>
          <t>2026-08-13</t>
        </is>
      </c>
      <c r="B204" t="inlineStr">
        <is>
          <t>Micko Tanedo</t>
        </is>
      </c>
      <c r="C204" t="inlineStr">
        <is>
          <t>TL</t>
        </is>
      </c>
      <c r="F204" t="inlineStr">
        <is>
          <t>8am-4pm</t>
        </is>
      </c>
      <c r="G204" t="inlineStr">
        <is>
          <t>7am-8am &amp; 4pm-8pm</t>
        </is>
      </c>
      <c r="H204" t="n">
        <v>5</v>
      </c>
      <c r="L204" t="inlineStr">
        <is>
          <t>migrated:TargetWeek33</t>
        </is>
      </c>
    </row>
    <row r="205">
      <c r="A205" t="inlineStr">
        <is>
          <t>2026-08-14</t>
        </is>
      </c>
      <c r="B205" t="inlineStr">
        <is>
          <t>Alyssa</t>
        </is>
      </c>
      <c r="C205" t="inlineStr">
        <is>
          <t>TL</t>
        </is>
      </c>
      <c r="F205" t="inlineStr">
        <is>
          <t>4pm-12am</t>
        </is>
      </c>
      <c r="G205" t="inlineStr">
        <is>
          <t>3pm-4pm</t>
        </is>
      </c>
      <c r="H205" t="n">
        <v>1</v>
      </c>
      <c r="L205" t="inlineStr">
        <is>
          <t>migrated:TargetWeek33</t>
        </is>
      </c>
    </row>
    <row r="206">
      <c r="A206" t="inlineStr">
        <is>
          <t>2026-08-14</t>
        </is>
      </c>
      <c r="B206" t="inlineStr">
        <is>
          <t>John Manuel</t>
        </is>
      </c>
      <c r="C206" t="inlineStr">
        <is>
          <t>TL</t>
        </is>
      </c>
      <c r="F206" t="inlineStr">
        <is>
          <t>12am-8am</t>
        </is>
      </c>
      <c r="G206" t="inlineStr">
        <is>
          <t>8AM-11AM&amp;9pm-12am</t>
        </is>
      </c>
      <c r="H206" t="n">
        <v>6</v>
      </c>
      <c r="L206" t="inlineStr">
        <is>
          <t>migrated:TargetWeek33</t>
        </is>
      </c>
    </row>
    <row r="207">
      <c r="A207" t="inlineStr">
        <is>
          <t>2026-08-14</t>
        </is>
      </c>
      <c r="B207" t="inlineStr">
        <is>
          <t>Micko Tanedo</t>
        </is>
      </c>
      <c r="C207" t="inlineStr">
        <is>
          <t>TL</t>
        </is>
      </c>
      <c r="F207" t="inlineStr">
        <is>
          <t>8am-4pm</t>
        </is>
      </c>
      <c r="G207" t="inlineStr">
        <is>
          <t>7am-8am &amp; 4pm-6:30pm</t>
        </is>
      </c>
      <c r="H207" t="n">
        <v>3.5</v>
      </c>
      <c r="L207" t="inlineStr">
        <is>
          <t>migrated:TargetWeek33</t>
        </is>
      </c>
    </row>
    <row r="208">
      <c r="A208" t="inlineStr">
        <is>
          <t>2026-08-15</t>
        </is>
      </c>
      <c r="B208" t="inlineStr">
        <is>
          <t>Alyssa</t>
        </is>
      </c>
      <c r="C208" t="inlineStr">
        <is>
          <t>TL</t>
        </is>
      </c>
      <c r="F208" t="inlineStr">
        <is>
          <t>OFF</t>
        </is>
      </c>
      <c r="G208" t="inlineStr">
        <is>
          <t>4pm-4:30pm, 8pm-1am</t>
        </is>
      </c>
      <c r="H208" t="n">
        <v>6.5</v>
      </c>
      <c r="L208" t="inlineStr">
        <is>
          <t>migrated:TargetWeek29</t>
        </is>
      </c>
    </row>
    <row r="209">
      <c r="A209" t="inlineStr">
        <is>
          <t>2026-08-15</t>
        </is>
      </c>
      <c r="B209" t="inlineStr">
        <is>
          <t>John Manuel</t>
        </is>
      </c>
      <c r="C209" t="inlineStr">
        <is>
          <t>TL</t>
        </is>
      </c>
      <c r="F209" t="inlineStr">
        <is>
          <t>10pm-8am</t>
        </is>
      </c>
      <c r="G209" t="inlineStr">
        <is>
          <t>9PM-12AM</t>
        </is>
      </c>
      <c r="H209" t="n">
        <v>3</v>
      </c>
      <c r="L209" t="inlineStr">
        <is>
          <t>migrated:TargetWeek29</t>
        </is>
      </c>
    </row>
    <row r="210">
      <c r="A210" t="inlineStr">
        <is>
          <t>2026-08-15</t>
        </is>
      </c>
      <c r="B210" t="inlineStr">
        <is>
          <t>John Manuel</t>
        </is>
      </c>
      <c r="C210" t="inlineStr">
        <is>
          <t>TL</t>
        </is>
      </c>
      <c r="F210" t="inlineStr">
        <is>
          <t>CANCEL OFF</t>
        </is>
      </c>
      <c r="G210" t="inlineStr">
        <is>
          <t>8AM-11AM&amp;9PM-12AM</t>
        </is>
      </c>
      <c r="H210" t="n">
        <v>6</v>
      </c>
      <c r="L210" t="inlineStr">
        <is>
          <t>migrated:TargetWeek33</t>
        </is>
      </c>
    </row>
    <row r="211">
      <c r="A211" t="inlineStr">
        <is>
          <t>2026-08-15</t>
        </is>
      </c>
      <c r="B211" t="inlineStr">
        <is>
          <t>Micko Tanedo</t>
        </is>
      </c>
      <c r="C211" t="inlineStr">
        <is>
          <t>TL</t>
        </is>
      </c>
      <c r="F211" t="inlineStr">
        <is>
          <t>Cancel OFF</t>
        </is>
      </c>
      <c r="G211" t="inlineStr">
        <is>
          <t>4pm-7pm</t>
        </is>
      </c>
      <c r="H211" t="n">
        <v>3</v>
      </c>
      <c r="L211" t="inlineStr">
        <is>
          <t>migrated:TargetWeek29</t>
        </is>
      </c>
    </row>
    <row r="212">
      <c r="A212" t="inlineStr">
        <is>
          <t>2026-08-15</t>
        </is>
      </c>
      <c r="B212" t="inlineStr">
        <is>
          <t>Micko Tanedo</t>
        </is>
      </c>
      <c r="C212" t="inlineStr">
        <is>
          <t>TL</t>
        </is>
      </c>
      <c r="F212" t="inlineStr">
        <is>
          <t>OFF</t>
        </is>
      </c>
      <c r="G212" t="inlineStr">
        <is>
          <t>7am-11am</t>
        </is>
      </c>
      <c r="H212" t="n">
        <v>4</v>
      </c>
      <c r="L212" t="inlineStr">
        <is>
          <t>migrated:TargetWeek33</t>
        </is>
      </c>
    </row>
    <row r="213">
      <c r="A213" t="inlineStr">
        <is>
          <t>2026-08-16</t>
        </is>
      </c>
      <c r="B213" t="inlineStr">
        <is>
          <t>Alyssa</t>
        </is>
      </c>
      <c r="C213" t="inlineStr">
        <is>
          <t>TL</t>
        </is>
      </c>
      <c r="F213" t="inlineStr">
        <is>
          <t>4pm-12am</t>
        </is>
      </c>
      <c r="G213" t="inlineStr">
        <is>
          <t>10:00am-3pm</t>
        </is>
      </c>
      <c r="H213" t="n">
        <v>5</v>
      </c>
      <c r="L213" t="inlineStr">
        <is>
          <t>migrated:TargetWeek34</t>
        </is>
      </c>
    </row>
    <row r="214">
      <c r="A214" t="inlineStr">
        <is>
          <t>2026-08-16</t>
        </is>
      </c>
      <c r="B214" t="inlineStr">
        <is>
          <t>John Manuel</t>
        </is>
      </c>
      <c r="C214" t="inlineStr">
        <is>
          <t>TL</t>
        </is>
      </c>
      <c r="F214" t="inlineStr">
        <is>
          <t>12am-8am</t>
        </is>
      </c>
      <c r="G214" t="inlineStr">
        <is>
          <t>8AM-11AM&amp;9PM-12AM</t>
        </is>
      </c>
      <c r="H214" t="n">
        <v>6</v>
      </c>
      <c r="L214" t="inlineStr">
        <is>
          <t>migrated:TargetWeek34</t>
        </is>
      </c>
    </row>
    <row r="215">
      <c r="A215" t="inlineStr">
        <is>
          <t>2026-08-16</t>
        </is>
      </c>
      <c r="B215" t="inlineStr">
        <is>
          <t>Micko Tanedo</t>
        </is>
      </c>
      <c r="C215" t="inlineStr">
        <is>
          <t>TL</t>
        </is>
      </c>
      <c r="F215" t="inlineStr">
        <is>
          <t>OFF</t>
        </is>
      </c>
      <c r="G215" t="inlineStr">
        <is>
          <t>7am-10am</t>
        </is>
      </c>
      <c r="H215" t="n">
        <v>3</v>
      </c>
      <c r="L215" t="inlineStr">
        <is>
          <t>migrated:TargetWeek34</t>
        </is>
      </c>
    </row>
    <row r="216">
      <c r="A216" t="inlineStr">
        <is>
          <t>2026-08-17</t>
        </is>
      </c>
      <c r="B216" t="inlineStr">
        <is>
          <t>Alyssa</t>
        </is>
      </c>
      <c r="C216" t="inlineStr">
        <is>
          <t>TL</t>
        </is>
      </c>
      <c r="F216" t="inlineStr">
        <is>
          <t>CANCEL OFF</t>
        </is>
      </c>
      <c r="G216" t="inlineStr">
        <is>
          <t>1PM-4PM</t>
        </is>
      </c>
      <c r="H216" t="n">
        <v>3</v>
      </c>
      <c r="L216" t="inlineStr">
        <is>
          <t>migrated:TargetWeek34</t>
        </is>
      </c>
    </row>
    <row r="217">
      <c r="A217" t="inlineStr">
        <is>
          <t>2026-08-17</t>
        </is>
      </c>
      <c r="B217" t="inlineStr">
        <is>
          <t>John Manuel</t>
        </is>
      </c>
      <c r="C217" t="inlineStr">
        <is>
          <t>TL</t>
        </is>
      </c>
      <c r="F217" t="inlineStr">
        <is>
          <t>12am-8am</t>
        </is>
      </c>
      <c r="G217" t="inlineStr">
        <is>
          <t>8AM-11AM&amp;9PM-12AM</t>
        </is>
      </c>
      <c r="H217" t="n">
        <v>6</v>
      </c>
      <c r="L217" t="inlineStr">
        <is>
          <t>migrated:TargetWeek34</t>
        </is>
      </c>
    </row>
    <row r="218">
      <c r="A218" t="inlineStr">
        <is>
          <t>2026-08-17</t>
        </is>
      </c>
      <c r="B218" t="inlineStr">
        <is>
          <t>Micko Tanedo</t>
        </is>
      </c>
      <c r="C218" t="inlineStr">
        <is>
          <t>TL</t>
        </is>
      </c>
      <c r="F218" t="inlineStr">
        <is>
          <t>8am-4pm</t>
        </is>
      </c>
      <c r="G218" t="inlineStr">
        <is>
          <t>7am-8am &amp; 4pm-7:30pm</t>
        </is>
      </c>
      <c r="H218" t="n">
        <v>4.5</v>
      </c>
      <c r="L218" t="inlineStr">
        <is>
          <t>migrated:TargetWeek34</t>
        </is>
      </c>
    </row>
    <row r="219">
      <c r="A219" t="inlineStr">
        <is>
          <t>2026-08-18</t>
        </is>
      </c>
      <c r="B219" t="inlineStr">
        <is>
          <t>Alyssa</t>
        </is>
      </c>
      <c r="C219" t="inlineStr">
        <is>
          <t>TL</t>
        </is>
      </c>
      <c r="F219" t="inlineStr">
        <is>
          <t>3pm-10pm</t>
        </is>
      </c>
      <c r="G219" t="inlineStr">
        <is>
          <t>2PM-3PM &amp; 10PM-12AM</t>
        </is>
      </c>
      <c r="H219" t="n">
        <v>3</v>
      </c>
      <c r="L219" t="inlineStr">
        <is>
          <t>migrated:TargetWeek34</t>
        </is>
      </c>
    </row>
    <row r="220">
      <c r="A220" t="inlineStr">
        <is>
          <t>2026-08-18</t>
        </is>
      </c>
      <c r="B220" t="inlineStr">
        <is>
          <t>John Manuel</t>
        </is>
      </c>
      <c r="C220" t="inlineStr">
        <is>
          <t>TL</t>
        </is>
      </c>
      <c r="F220" t="inlineStr">
        <is>
          <t>10pm-4am</t>
        </is>
      </c>
      <c r="G220" t="inlineStr">
        <is>
          <t>8AM-11AM</t>
        </is>
      </c>
      <c r="H220" t="n">
        <v>3</v>
      </c>
      <c r="L220" t="inlineStr">
        <is>
          <t>migrated:TargetWeek34</t>
        </is>
      </c>
    </row>
    <row r="221">
      <c r="A221" t="inlineStr">
        <is>
          <t>2026-08-18</t>
        </is>
      </c>
      <c r="B221" t="inlineStr">
        <is>
          <t>Micko Tanedo</t>
        </is>
      </c>
      <c r="C221" t="inlineStr">
        <is>
          <t>TL</t>
        </is>
      </c>
      <c r="F221" t="inlineStr">
        <is>
          <t>8am-4pm</t>
        </is>
      </c>
      <c r="G221" t="inlineStr">
        <is>
          <t>7am-8am &amp; 4pm-8pm</t>
        </is>
      </c>
      <c r="H221" t="n">
        <v>5</v>
      </c>
      <c r="L221" t="inlineStr">
        <is>
          <t>migrated:TargetWeek34</t>
        </is>
      </c>
    </row>
    <row r="222">
      <c r="A222" t="inlineStr">
        <is>
          <t>2026-08-19</t>
        </is>
      </c>
      <c r="B222" t="inlineStr">
        <is>
          <t>John Manuel</t>
        </is>
      </c>
      <c r="C222" t="inlineStr">
        <is>
          <t>TL</t>
        </is>
      </c>
      <c r="F222" t="inlineStr">
        <is>
          <t>12am-8am</t>
        </is>
      </c>
      <c r="G222" t="inlineStr">
        <is>
          <t>10PM-12AM</t>
        </is>
      </c>
      <c r="H222" t="n">
        <v>2</v>
      </c>
      <c r="L222" t="inlineStr">
        <is>
          <t>migrated:TargetWeek34</t>
        </is>
      </c>
    </row>
    <row r="223">
      <c r="A223" t="inlineStr">
        <is>
          <t>2026-08-20</t>
        </is>
      </c>
      <c r="B223" t="inlineStr">
        <is>
          <t>John Manuel</t>
        </is>
      </c>
      <c r="C223" t="inlineStr">
        <is>
          <t>TL</t>
        </is>
      </c>
      <c r="F223" t="inlineStr">
        <is>
          <t>CANCEL OFF</t>
        </is>
      </c>
      <c r="G223" t="inlineStr">
        <is>
          <t>8AM-10AM&amp;10PM-12AM</t>
        </is>
      </c>
      <c r="H223" t="n">
        <v>4</v>
      </c>
      <c r="L223" t="inlineStr">
        <is>
          <t>migrated:TargetWeek34</t>
        </is>
      </c>
    </row>
    <row r="224">
      <c r="A224" t="inlineStr">
        <is>
          <t>2026-08-20</t>
        </is>
      </c>
      <c r="B224" t="inlineStr">
        <is>
          <t>Micko Tanedo</t>
        </is>
      </c>
      <c r="C224" t="inlineStr">
        <is>
          <t>TL</t>
        </is>
      </c>
      <c r="F224" t="inlineStr">
        <is>
          <t>8am-4pm</t>
        </is>
      </c>
      <c r="G224" t="inlineStr">
        <is>
          <t>6am-8am &amp; 4pm-6pm</t>
        </is>
      </c>
      <c r="H224" t="n">
        <v>4</v>
      </c>
      <c r="L224" t="inlineStr">
        <is>
          <t>migrated:TargetWeek34</t>
        </is>
      </c>
    </row>
    <row r="225">
      <c r="A225" t="inlineStr">
        <is>
          <t>2026-08-21</t>
        </is>
      </c>
      <c r="B225" t="inlineStr">
        <is>
          <t>John Manuel</t>
        </is>
      </c>
      <c r="C225" t="inlineStr">
        <is>
          <t>TL</t>
        </is>
      </c>
      <c r="F225" t="inlineStr">
        <is>
          <t>12am-8am</t>
        </is>
      </c>
      <c r="G225" t="inlineStr">
        <is>
          <t>8AM-10AM&amp;10PM-12AM</t>
        </is>
      </c>
      <c r="H225" t="n">
        <v>4</v>
      </c>
      <c r="L225" t="inlineStr">
        <is>
          <t>migrated:TargetWeek34</t>
        </is>
      </c>
    </row>
    <row r="226">
      <c r="A226" t="inlineStr">
        <is>
          <t>2026-08-21</t>
        </is>
      </c>
      <c r="B226" t="inlineStr">
        <is>
          <t>Micko Tanedo</t>
        </is>
      </c>
      <c r="C226" t="inlineStr">
        <is>
          <t>TL</t>
        </is>
      </c>
      <c r="F226" t="inlineStr">
        <is>
          <t>8am-4pm</t>
        </is>
      </c>
      <c r="G226" t="inlineStr">
        <is>
          <t>6am-8am &amp; 4pm-7:30pm</t>
        </is>
      </c>
      <c r="H226" t="n">
        <v>5.5</v>
      </c>
      <c r="L226" t="inlineStr">
        <is>
          <t>migrated:TargetWeek34</t>
        </is>
      </c>
    </row>
    <row r="227">
      <c r="A227" t="inlineStr">
        <is>
          <t>2026-08-22</t>
        </is>
      </c>
      <c r="B227" t="inlineStr">
        <is>
          <t>John Manuel</t>
        </is>
      </c>
      <c r="C227" t="inlineStr">
        <is>
          <t>TL</t>
        </is>
      </c>
      <c r="F227" t="inlineStr">
        <is>
          <t>CANCEL OFF</t>
        </is>
      </c>
      <c r="G227" t="inlineStr">
        <is>
          <t>8AM-10AM&amp;11PM-12AM</t>
        </is>
      </c>
      <c r="H227" t="n">
        <v>3</v>
      </c>
      <c r="L227" t="inlineStr">
        <is>
          <t>migrated:TargetWeek34</t>
        </is>
      </c>
    </row>
    <row r="228">
      <c r="A228" t="inlineStr">
        <is>
          <t>2026-08-22</t>
        </is>
      </c>
      <c r="B228" t="inlineStr">
        <is>
          <t>Micko Tanedo</t>
        </is>
      </c>
      <c r="C228" t="inlineStr">
        <is>
          <t>TL</t>
        </is>
      </c>
      <c r="F228" t="inlineStr">
        <is>
          <t>Cancel OFF</t>
        </is>
      </c>
      <c r="G228" t="inlineStr">
        <is>
          <t>6am-8am &amp; 4pm-6pm</t>
        </is>
      </c>
      <c r="H228" t="n">
        <v>4</v>
      </c>
      <c r="L228" t="inlineStr">
        <is>
          <t>migrated:TargetWeek34</t>
        </is>
      </c>
    </row>
    <row r="229">
      <c r="A229" t="inlineStr">
        <is>
          <t>2026-08-23</t>
        </is>
      </c>
      <c r="B229" t="inlineStr">
        <is>
          <t>Alyssa</t>
        </is>
      </c>
      <c r="C229" t="inlineStr">
        <is>
          <t>TL</t>
        </is>
      </c>
      <c r="F229" t="inlineStr">
        <is>
          <t>4pm-12am</t>
        </is>
      </c>
      <c r="G229" t="inlineStr">
        <is>
          <t>11:30am-1:30pm</t>
        </is>
      </c>
      <c r="H229" t="n">
        <v>2</v>
      </c>
      <c r="L229" t="inlineStr">
        <is>
          <t>migrated:TargetWeek35</t>
        </is>
      </c>
    </row>
    <row r="230">
      <c r="A230" t="inlineStr">
        <is>
          <t>2026-08-23</t>
        </is>
      </c>
      <c r="B230" t="inlineStr">
        <is>
          <t>John Manuel</t>
        </is>
      </c>
      <c r="C230" t="inlineStr">
        <is>
          <t>TL</t>
        </is>
      </c>
      <c r="F230" t="inlineStr">
        <is>
          <t>12am-8am</t>
        </is>
      </c>
      <c r="G230" t="inlineStr">
        <is>
          <t>8AM-11AM&amp;10PM-12AM</t>
        </is>
      </c>
      <c r="H230" t="n">
        <v>5</v>
      </c>
      <c r="L230" t="inlineStr">
        <is>
          <t>migrated:TargetWeek35</t>
        </is>
      </c>
    </row>
    <row r="231">
      <c r="A231" t="inlineStr">
        <is>
          <t>2026-08-24</t>
        </is>
      </c>
      <c r="B231" t="inlineStr">
        <is>
          <t>John Manuel</t>
        </is>
      </c>
      <c r="C231" t="inlineStr">
        <is>
          <t>TL</t>
        </is>
      </c>
      <c r="F231" t="inlineStr">
        <is>
          <t>12am-8am</t>
        </is>
      </c>
      <c r="G231" t="inlineStr">
        <is>
          <t>8AM-10AM&amp;10PM-12AM</t>
        </is>
      </c>
      <c r="H231" t="n">
        <v>4</v>
      </c>
      <c r="L231" t="inlineStr">
        <is>
          <t>migrated:TargetWeek35</t>
        </is>
      </c>
    </row>
    <row r="232">
      <c r="A232" t="inlineStr">
        <is>
          <t>2026-08-24</t>
        </is>
      </c>
      <c r="B232" t="inlineStr">
        <is>
          <t>Micko Tanedo</t>
        </is>
      </c>
      <c r="C232" t="inlineStr">
        <is>
          <t>TL</t>
        </is>
      </c>
      <c r="F232" t="inlineStr">
        <is>
          <t>8am-4pm</t>
        </is>
      </c>
      <c r="G232" t="inlineStr">
        <is>
          <t>6am-8am &amp; 4pm-7pm</t>
        </is>
      </c>
      <c r="H232" t="n">
        <v>5</v>
      </c>
      <c r="L232" t="inlineStr">
        <is>
          <t>migrated:TargetWeek35</t>
        </is>
      </c>
    </row>
    <row r="233">
      <c r="A233" t="inlineStr">
        <is>
          <t>2026-08-25</t>
        </is>
      </c>
      <c r="B233" t="inlineStr">
        <is>
          <t>Alyssa</t>
        </is>
      </c>
      <c r="C233" t="inlineStr">
        <is>
          <t>TL</t>
        </is>
      </c>
      <c r="F233" t="inlineStr">
        <is>
          <t>3pm-10pm</t>
        </is>
      </c>
      <c r="G233" t="inlineStr">
        <is>
          <t>10pm-1am</t>
        </is>
      </c>
      <c r="H233" t="n">
        <v>3</v>
      </c>
      <c r="L233" t="inlineStr">
        <is>
          <t>migrated:TargetWeek35</t>
        </is>
      </c>
    </row>
    <row r="234">
      <c r="A234" t="inlineStr">
        <is>
          <t>2026-08-25</t>
        </is>
      </c>
      <c r="B234" t="inlineStr">
        <is>
          <t>Micko Tanedo</t>
        </is>
      </c>
      <c r="C234" t="inlineStr">
        <is>
          <t>TL</t>
        </is>
      </c>
      <c r="F234" t="inlineStr">
        <is>
          <t>8am-3pm</t>
        </is>
      </c>
      <c r="G234" t="inlineStr">
        <is>
          <t>6am-8am &amp; 3pm-5pm</t>
        </is>
      </c>
      <c r="H234" t="n">
        <v>4</v>
      </c>
      <c r="L234" t="inlineStr">
        <is>
          <t>migrated:TargetWeek35</t>
        </is>
      </c>
    </row>
    <row r="235">
      <c r="A235" t="inlineStr">
        <is>
          <t>2026-08-26</t>
        </is>
      </c>
      <c r="B235" t="inlineStr">
        <is>
          <t>Alyssa</t>
        </is>
      </c>
      <c r="C235" t="inlineStr">
        <is>
          <t>TL</t>
        </is>
      </c>
      <c r="F235" t="inlineStr">
        <is>
          <t>4pm-12am</t>
        </is>
      </c>
      <c r="G235" t="inlineStr">
        <is>
          <t>3pm-4pm</t>
        </is>
      </c>
      <c r="H235" t="n">
        <v>1</v>
      </c>
      <c r="L235" t="inlineStr">
        <is>
          <t>migrated:TargetWeek35</t>
        </is>
      </c>
    </row>
    <row r="236">
      <c r="A236" t="inlineStr">
        <is>
          <t>2026-08-26</t>
        </is>
      </c>
      <c r="B236" t="inlineStr">
        <is>
          <t>John Manuel</t>
        </is>
      </c>
      <c r="C236" t="inlineStr">
        <is>
          <t>TL</t>
        </is>
      </c>
      <c r="F236" t="inlineStr">
        <is>
          <t>12am-8am</t>
        </is>
      </c>
      <c r="G236" t="inlineStr">
        <is>
          <t>9AM-12AM&amp;10PM-12AM</t>
        </is>
      </c>
      <c r="H236" t="n">
        <v>5</v>
      </c>
      <c r="L236" t="inlineStr">
        <is>
          <t>migrated:TargetWeek35</t>
        </is>
      </c>
    </row>
    <row r="237">
      <c r="A237" t="inlineStr">
        <is>
          <t>2026-08-27</t>
        </is>
      </c>
      <c r="B237" t="inlineStr">
        <is>
          <t>John Manuel</t>
        </is>
      </c>
      <c r="C237" t="inlineStr">
        <is>
          <t>TL</t>
        </is>
      </c>
      <c r="F237" t="inlineStr">
        <is>
          <t>CANCEL OFF</t>
        </is>
      </c>
      <c r="G237" t="inlineStr">
        <is>
          <t>8AM-10AM&amp;9PM-12AM</t>
        </is>
      </c>
      <c r="H237" t="n">
        <v>5</v>
      </c>
      <c r="L237" t="inlineStr">
        <is>
          <t>migrated:TargetWeek35</t>
        </is>
      </c>
    </row>
    <row r="238">
      <c r="A238" t="inlineStr">
        <is>
          <t>2026-08-27</t>
        </is>
      </c>
      <c r="B238" t="inlineStr">
        <is>
          <t>Micko Tanedo</t>
        </is>
      </c>
      <c r="C238" t="inlineStr">
        <is>
          <t>TL</t>
        </is>
      </c>
      <c r="F238" t="inlineStr">
        <is>
          <t>8am-4pm</t>
        </is>
      </c>
      <c r="G238" t="inlineStr">
        <is>
          <t>6am-8am &amp; 4pm-7:30pm</t>
        </is>
      </c>
      <c r="H238" t="n">
        <v>5.5</v>
      </c>
      <c r="L238" t="inlineStr">
        <is>
          <t>migrated:TargetWeek35</t>
        </is>
      </c>
    </row>
    <row r="239">
      <c r="A239" t="inlineStr">
        <is>
          <t>2026-08-28</t>
        </is>
      </c>
      <c r="B239" t="inlineStr">
        <is>
          <t>Alyssa</t>
        </is>
      </c>
      <c r="C239" t="inlineStr">
        <is>
          <t>TL</t>
        </is>
      </c>
      <c r="F239" t="inlineStr">
        <is>
          <t>CANCEL OFF</t>
        </is>
      </c>
      <c r="G239" t="inlineStr">
        <is>
          <t>5am-6am</t>
        </is>
      </c>
      <c r="H239" t="n">
        <v>1</v>
      </c>
      <c r="L239" t="inlineStr">
        <is>
          <t>migrated:TargetWeek35</t>
        </is>
      </c>
    </row>
    <row r="240">
      <c r="A240" t="inlineStr">
        <is>
          <t>2026-08-28</t>
        </is>
      </c>
      <c r="B240" t="inlineStr">
        <is>
          <t>John Manuel</t>
        </is>
      </c>
      <c r="C240" t="inlineStr">
        <is>
          <t>TL</t>
        </is>
      </c>
      <c r="F240" t="inlineStr">
        <is>
          <t>12am-8am</t>
        </is>
      </c>
      <c r="G240" t="inlineStr">
        <is>
          <t>8AM-11AM&amp;9PM-12AM</t>
        </is>
      </c>
      <c r="H240" t="n">
        <v>6</v>
      </c>
      <c r="L240" t="inlineStr">
        <is>
          <t>migrated:TargetWeek35</t>
        </is>
      </c>
    </row>
    <row r="241">
      <c r="A241" t="inlineStr">
        <is>
          <t>2026-08-28</t>
        </is>
      </c>
      <c r="B241" t="inlineStr">
        <is>
          <t>Micko Tanedo</t>
        </is>
      </c>
      <c r="C241" t="inlineStr">
        <is>
          <t>TL</t>
        </is>
      </c>
      <c r="F241" t="inlineStr">
        <is>
          <t>8am-4pm</t>
        </is>
      </c>
      <c r="G241" t="inlineStr">
        <is>
          <t>6am-8am &amp; 4pm-6am</t>
        </is>
      </c>
      <c r="H241" t="n">
        <v>4</v>
      </c>
      <c r="L241" t="inlineStr">
        <is>
          <t>migrated:TargetWeek35</t>
        </is>
      </c>
    </row>
    <row r="242">
      <c r="A242" t="inlineStr">
        <is>
          <t>2026-08-29</t>
        </is>
      </c>
      <c r="B242" t="inlineStr">
        <is>
          <t>Alyssa</t>
        </is>
      </c>
      <c r="C242" t="inlineStr">
        <is>
          <t>TL</t>
        </is>
      </c>
      <c r="F242" t="inlineStr">
        <is>
          <t>4pm-12am</t>
        </is>
      </c>
      <c r="G242" t="inlineStr">
        <is>
          <t>11am-4pm</t>
        </is>
      </c>
      <c r="H242" t="n">
        <v>5</v>
      </c>
      <c r="L242" t="inlineStr">
        <is>
          <t>migrated:TargetWeek35</t>
        </is>
      </c>
    </row>
    <row r="243">
      <c r="A243" t="inlineStr">
        <is>
          <t>2026-08-29</t>
        </is>
      </c>
      <c r="B243" t="inlineStr">
        <is>
          <t>John Manuel</t>
        </is>
      </c>
      <c r="C243" t="inlineStr">
        <is>
          <t>TL</t>
        </is>
      </c>
      <c r="F243" t="inlineStr">
        <is>
          <t>CANCEL OFF</t>
        </is>
      </c>
      <c r="G243" t="inlineStr">
        <is>
          <t>8AM-11AM</t>
        </is>
      </c>
      <c r="H243" t="n">
        <v>3</v>
      </c>
      <c r="L243" t="inlineStr">
        <is>
          <t>migrated:TargetWeek35</t>
        </is>
      </c>
    </row>
    <row r="244">
      <c r="A244" t="inlineStr">
        <is>
          <t>2026-08-29</t>
        </is>
      </c>
      <c r="B244" t="inlineStr">
        <is>
          <t>Micko Tanedo</t>
        </is>
      </c>
      <c r="C244" t="inlineStr">
        <is>
          <t>TL</t>
        </is>
      </c>
      <c r="F244" t="inlineStr">
        <is>
          <t>8am-4pm</t>
        </is>
      </c>
      <c r="G244" t="inlineStr">
        <is>
          <t>4am-8am &amp; 4pm-7pm</t>
        </is>
      </c>
      <c r="H244" t="n">
        <v>7</v>
      </c>
      <c r="L244" t="inlineStr">
        <is>
          <t>migrated:TargetWeek35</t>
        </is>
      </c>
    </row>
    <row r="245">
      <c r="A245" t="inlineStr">
        <is>
          <t>2026-08-30</t>
        </is>
      </c>
      <c r="B245" t="inlineStr">
        <is>
          <t>Alyssa</t>
        </is>
      </c>
      <c r="C245" t="inlineStr">
        <is>
          <t>TL</t>
        </is>
      </c>
      <c r="F245" t="inlineStr">
        <is>
          <t>4pm-12am</t>
        </is>
      </c>
      <c r="G245" t="inlineStr">
        <is>
          <t>12pm-3pm</t>
        </is>
      </c>
      <c r="H245" t="n">
        <v>3</v>
      </c>
      <c r="L245" t="inlineStr">
        <is>
          <t>migrated:TargetWeek36</t>
        </is>
      </c>
    </row>
    <row r="246">
      <c r="A246" t="inlineStr">
        <is>
          <t>2026-08-30</t>
        </is>
      </c>
      <c r="B246" t="inlineStr">
        <is>
          <t>John Manuel</t>
        </is>
      </c>
      <c r="C246" t="inlineStr">
        <is>
          <t>TL</t>
        </is>
      </c>
      <c r="F246" t="inlineStr">
        <is>
          <t>12am-8am</t>
        </is>
      </c>
      <c r="G246" t="inlineStr">
        <is>
          <t>10PM-12AM</t>
        </is>
      </c>
      <c r="H246" t="n">
        <v>2</v>
      </c>
      <c r="L246" t="inlineStr">
        <is>
          <t>migrated:TargetWeek36</t>
        </is>
      </c>
    </row>
    <row r="247">
      <c r="A247" t="inlineStr">
        <is>
          <t>2026-08-30</t>
        </is>
      </c>
      <c r="B247" t="inlineStr">
        <is>
          <t>Micko Tanedo</t>
        </is>
      </c>
      <c r="C247" t="inlineStr">
        <is>
          <t>TL</t>
        </is>
      </c>
      <c r="F247" t="inlineStr">
        <is>
          <t>OFF</t>
        </is>
      </c>
      <c r="G247" t="inlineStr">
        <is>
          <t>6am-8am</t>
        </is>
      </c>
      <c r="H247" t="n">
        <v>2</v>
      </c>
      <c r="L247" t="inlineStr">
        <is>
          <t>migrated:TargetWeek36</t>
        </is>
      </c>
    </row>
    <row r="248">
      <c r="A248" t="inlineStr">
        <is>
          <t>2026-08-31</t>
        </is>
      </c>
      <c r="B248" t="inlineStr">
        <is>
          <t>Alyssa</t>
        </is>
      </c>
      <c r="C248" t="inlineStr">
        <is>
          <t>TL</t>
        </is>
      </c>
      <c r="F248" t="inlineStr">
        <is>
          <t>CANCEL OFF</t>
        </is>
      </c>
      <c r="G248" t="inlineStr">
        <is>
          <t>3PM-4PM</t>
        </is>
      </c>
      <c r="H248" t="n">
        <v>1</v>
      </c>
      <c r="L248" t="inlineStr">
        <is>
          <t>migrated:TargetWeek36</t>
        </is>
      </c>
    </row>
    <row r="249">
      <c r="A249" t="inlineStr">
        <is>
          <t>2026-08-31</t>
        </is>
      </c>
      <c r="B249" t="inlineStr">
        <is>
          <t>John Manuel</t>
        </is>
      </c>
      <c r="C249" t="inlineStr">
        <is>
          <t>TL</t>
        </is>
      </c>
      <c r="F249" t="inlineStr">
        <is>
          <t>12am-8am</t>
        </is>
      </c>
      <c r="G249" t="inlineStr">
        <is>
          <t>8AM-10AM&amp;9PM-12AM</t>
        </is>
      </c>
      <c r="H249" t="n">
        <v>5</v>
      </c>
      <c r="L249" t="inlineStr">
        <is>
          <t>migrated:TargetWeek36</t>
        </is>
      </c>
    </row>
    <row r="250">
      <c r="A250" t="inlineStr">
        <is>
          <t>2026-08-31</t>
        </is>
      </c>
      <c r="B250" t="inlineStr">
        <is>
          <t>Micko Tanedo</t>
        </is>
      </c>
      <c r="C250" t="inlineStr">
        <is>
          <t>TL</t>
        </is>
      </c>
      <c r="F250" t="inlineStr">
        <is>
          <t>8am-4pm</t>
        </is>
      </c>
      <c r="G250" t="inlineStr">
        <is>
          <t>6am - 8am</t>
        </is>
      </c>
      <c r="H250" t="n">
        <v>2</v>
      </c>
      <c r="L250" t="inlineStr">
        <is>
          <t>migrated:TargetWeek36</t>
        </is>
      </c>
    </row>
    <row r="251">
      <c r="A251" t="inlineStr">
        <is>
          <t>2026-09-01</t>
        </is>
      </c>
      <c r="B251" t="inlineStr">
        <is>
          <t>Alyssa</t>
        </is>
      </c>
      <c r="C251" t="inlineStr">
        <is>
          <t>TL</t>
        </is>
      </c>
      <c r="F251" t="inlineStr">
        <is>
          <t>3pm-10pm</t>
        </is>
      </c>
      <c r="G251" t="inlineStr">
        <is>
          <t>6am-12pm&amp;1:30pm-3pm&amp;10pm-10:30pm</t>
        </is>
      </c>
      <c r="H251" t="n">
        <v>8</v>
      </c>
      <c r="L251" t="inlineStr">
        <is>
          <t>migrated:TargetWeek36</t>
        </is>
      </c>
    </row>
    <row r="252">
      <c r="A252" t="inlineStr">
        <is>
          <t>2026-09-01</t>
        </is>
      </c>
      <c r="B252" t="inlineStr">
        <is>
          <t>John Manuel</t>
        </is>
      </c>
      <c r="C252" t="inlineStr">
        <is>
          <t>TL</t>
        </is>
      </c>
      <c r="F252" t="inlineStr">
        <is>
          <t>10pm-4am</t>
        </is>
      </c>
      <c r="G252" t="inlineStr">
        <is>
          <t>8AM-11AM&amp;8PM-10PM</t>
        </is>
      </c>
      <c r="H252" t="n">
        <v>5</v>
      </c>
      <c r="L252" t="inlineStr">
        <is>
          <t>migrated:TargetWeek36</t>
        </is>
      </c>
    </row>
    <row r="253">
      <c r="A253" t="inlineStr">
        <is>
          <t>2026-09-01</t>
        </is>
      </c>
      <c r="B253" t="inlineStr">
        <is>
          <t>Micko Tanedo</t>
        </is>
      </c>
      <c r="C253" t="inlineStr">
        <is>
          <t>TL</t>
        </is>
      </c>
      <c r="F253" t="inlineStr">
        <is>
          <t>8am-3pm</t>
        </is>
      </c>
      <c r="G253" t="inlineStr">
        <is>
          <t>6am-8am &amp; 4pm-10pm</t>
        </is>
      </c>
      <c r="H253" t="n">
        <v>8</v>
      </c>
      <c r="L253" t="inlineStr">
        <is>
          <t>migrated:TargetWeek36</t>
        </is>
      </c>
    </row>
    <row r="254">
      <c r="A254" t="inlineStr">
        <is>
          <t>2026-09-02</t>
        </is>
      </c>
      <c r="B254" t="inlineStr">
        <is>
          <t>Alyssa</t>
        </is>
      </c>
      <c r="C254" t="inlineStr">
        <is>
          <t>TL</t>
        </is>
      </c>
      <c r="F254" t="inlineStr">
        <is>
          <t>4pm-12am</t>
        </is>
      </c>
      <c r="G254" t="inlineStr">
        <is>
          <t>9pm-4pm</t>
        </is>
      </c>
      <c r="H254" t="n">
        <v>7</v>
      </c>
      <c r="L254" t="inlineStr">
        <is>
          <t>migrated:TargetWeek36</t>
        </is>
      </c>
    </row>
    <row r="255">
      <c r="A255" t="inlineStr">
        <is>
          <t>2026-09-02</t>
        </is>
      </c>
      <c r="B255" t="inlineStr">
        <is>
          <t>John Manuel</t>
        </is>
      </c>
      <c r="C255" t="inlineStr">
        <is>
          <t>TL</t>
        </is>
      </c>
      <c r="F255" t="inlineStr">
        <is>
          <t>12am-8am</t>
        </is>
      </c>
      <c r="G255" t="inlineStr">
        <is>
          <t>9AM-1PM&amp;9PM-12AM</t>
        </is>
      </c>
      <c r="H255" t="n">
        <v>7</v>
      </c>
      <c r="L255" t="inlineStr">
        <is>
          <t>migrated:TargetWeek36</t>
        </is>
      </c>
    </row>
    <row r="256">
      <c r="A256" t="inlineStr">
        <is>
          <t>2026-09-02</t>
        </is>
      </c>
      <c r="B256" t="inlineStr">
        <is>
          <t>Micko Tanedo</t>
        </is>
      </c>
      <c r="C256" t="inlineStr">
        <is>
          <t>TL</t>
        </is>
      </c>
      <c r="F256" t="inlineStr">
        <is>
          <t>OFF</t>
        </is>
      </c>
      <c r="G256" t="inlineStr">
        <is>
          <t>9am-3pm &amp; 4pm-8pm</t>
        </is>
      </c>
      <c r="H256" t="n">
        <v>10</v>
      </c>
      <c r="L256" t="inlineStr">
        <is>
          <t>migrated:TargetWeek36</t>
        </is>
      </c>
    </row>
    <row r="257">
      <c r="A257" t="inlineStr">
        <is>
          <t>2026-09-03</t>
        </is>
      </c>
      <c r="B257" t="inlineStr">
        <is>
          <t>Alyssa</t>
        </is>
      </c>
      <c r="C257" t="inlineStr">
        <is>
          <t>TL</t>
        </is>
      </c>
      <c r="F257" t="inlineStr">
        <is>
          <t>4pm-12am</t>
        </is>
      </c>
      <c r="G257" t="inlineStr">
        <is>
          <t>8am-4pm&amp;</t>
        </is>
      </c>
      <c r="H257" t="n">
        <v>8</v>
      </c>
      <c r="L257" t="inlineStr">
        <is>
          <t>migrated:TargetWeek36</t>
        </is>
      </c>
    </row>
    <row r="258">
      <c r="A258" t="inlineStr">
        <is>
          <t>2026-09-03</t>
        </is>
      </c>
      <c r="B258" t="inlineStr">
        <is>
          <t>John Manuel</t>
        </is>
      </c>
      <c r="C258" t="inlineStr">
        <is>
          <t>TL</t>
        </is>
      </c>
      <c r="F258" t="inlineStr">
        <is>
          <t>CANCEL OFF</t>
        </is>
      </c>
      <c r="G258" t="inlineStr">
        <is>
          <t>8AM-11AM&amp;9PM-12AM</t>
        </is>
      </c>
      <c r="H258" t="n">
        <v>6</v>
      </c>
      <c r="L258" t="inlineStr">
        <is>
          <t>migrated:TargetWeek36</t>
        </is>
      </c>
    </row>
    <row r="259">
      <c r="A259" t="inlineStr">
        <is>
          <t>2026-09-03</t>
        </is>
      </c>
      <c r="B259" t="inlineStr">
        <is>
          <t>Micko Tanedo</t>
        </is>
      </c>
      <c r="C259" t="inlineStr">
        <is>
          <t>TL</t>
        </is>
      </c>
      <c r="F259" t="inlineStr">
        <is>
          <t>8am-4pm</t>
        </is>
      </c>
      <c r="G259" t="inlineStr">
        <is>
          <t>6am-8am &amp; 4pm-5pm</t>
        </is>
      </c>
      <c r="H259" t="n">
        <v>3</v>
      </c>
      <c r="L259" t="inlineStr">
        <is>
          <t>migrated:TargetWeek36</t>
        </is>
      </c>
    </row>
    <row r="260">
      <c r="A260" t="inlineStr">
        <is>
          <t>2026-09-04</t>
        </is>
      </c>
      <c r="B260" t="inlineStr">
        <is>
          <t>Alyssa</t>
        </is>
      </c>
      <c r="C260" t="inlineStr">
        <is>
          <t>TL</t>
        </is>
      </c>
      <c r="F260" t="inlineStr">
        <is>
          <t>CANCEL OFF</t>
        </is>
      </c>
      <c r="G260" t="inlineStr">
        <is>
          <t>8am-11am&amp;12:30pm-4pm&amp;12am-12:30am</t>
        </is>
      </c>
      <c r="H260" t="n">
        <v>7</v>
      </c>
      <c r="L260" t="inlineStr">
        <is>
          <t>migrated:TargetWeek36</t>
        </is>
      </c>
    </row>
    <row r="261">
      <c r="A261" t="inlineStr">
        <is>
          <t>2026-09-04</t>
        </is>
      </c>
      <c r="B261" t="inlineStr">
        <is>
          <t>John Manuel</t>
        </is>
      </c>
      <c r="C261" t="inlineStr">
        <is>
          <t>TL</t>
        </is>
      </c>
      <c r="F261" t="inlineStr">
        <is>
          <t>12am-8am</t>
        </is>
      </c>
      <c r="G261" t="inlineStr">
        <is>
          <t>8AM-11AM&amp;9PM-12AM</t>
        </is>
      </c>
      <c r="H261" t="n">
        <v>6</v>
      </c>
      <c r="L261" t="inlineStr">
        <is>
          <t>migrated:TargetWeek36</t>
        </is>
      </c>
    </row>
    <row r="262">
      <c r="A262" t="inlineStr">
        <is>
          <t>2026-09-04</t>
        </is>
      </c>
      <c r="B262" t="inlineStr">
        <is>
          <t>Micko Tanedo</t>
        </is>
      </c>
      <c r="C262" t="inlineStr">
        <is>
          <t>TL</t>
        </is>
      </c>
      <c r="F262" t="inlineStr">
        <is>
          <t>8am-4pm</t>
        </is>
      </c>
      <c r="G262" t="inlineStr">
        <is>
          <t>6am-8am &amp; 4pm-7:30pm</t>
        </is>
      </c>
      <c r="H262" t="n">
        <v>5.5</v>
      </c>
      <c r="L262" t="inlineStr">
        <is>
          <t>migrated:TargetWeek36</t>
        </is>
      </c>
    </row>
    <row r="263">
      <c r="A263" t="inlineStr">
        <is>
          <t>2026-09-05</t>
        </is>
      </c>
      <c r="B263" t="inlineStr">
        <is>
          <t>Alyssa</t>
        </is>
      </c>
      <c r="C263" t="inlineStr">
        <is>
          <t>TL</t>
        </is>
      </c>
      <c r="F263" t="inlineStr">
        <is>
          <t>4pm-12am</t>
        </is>
      </c>
      <c r="G263" t="inlineStr">
        <is>
          <t>8am-4pm</t>
        </is>
      </c>
      <c r="H263" t="n">
        <v>8</v>
      </c>
      <c r="L263" t="inlineStr">
        <is>
          <t>migrated:TargetWeek36</t>
        </is>
      </c>
    </row>
    <row r="264">
      <c r="A264" t="inlineStr">
        <is>
          <t>2026-09-05</t>
        </is>
      </c>
      <c r="B264" t="inlineStr">
        <is>
          <t>John Manuel</t>
        </is>
      </c>
      <c r="C264" t="inlineStr">
        <is>
          <t>TL</t>
        </is>
      </c>
      <c r="F264" t="inlineStr">
        <is>
          <t>OFF</t>
        </is>
      </c>
      <c r="G264" t="inlineStr">
        <is>
          <t>8AM-11AM&amp;10PM-4AM</t>
        </is>
      </c>
      <c r="H264" t="n">
        <v>9</v>
      </c>
      <c r="L264" t="inlineStr">
        <is>
          <t>migrated:TargetWeek36</t>
        </is>
      </c>
    </row>
    <row r="265">
      <c r="A265" t="inlineStr">
        <is>
          <t>2026-09-05</t>
        </is>
      </c>
      <c r="B265" t="inlineStr">
        <is>
          <t>Micko Tanedo</t>
        </is>
      </c>
      <c r="C265" t="inlineStr">
        <is>
          <t>TL</t>
        </is>
      </c>
      <c r="F265" t="inlineStr">
        <is>
          <t>8am-4pm</t>
        </is>
      </c>
      <c r="G265" t="inlineStr">
        <is>
          <t>6am-8am &amp; 4pm-7pm</t>
        </is>
      </c>
      <c r="H265" t="n">
        <v>5</v>
      </c>
      <c r="L265" t="inlineStr">
        <is>
          <t>migrated:TargetWeek36</t>
        </is>
      </c>
    </row>
    <row r="266">
      <c r="A266" t="inlineStr">
        <is>
          <t>2026-09-06</t>
        </is>
      </c>
      <c r="B266" t="inlineStr">
        <is>
          <t>Alyssa</t>
        </is>
      </c>
      <c r="C266" t="inlineStr">
        <is>
          <t>TL</t>
        </is>
      </c>
      <c r="F266" t="inlineStr">
        <is>
          <t>4pm-12am</t>
        </is>
      </c>
      <c r="G266" t="inlineStr">
        <is>
          <t>6am-9:30am&amp;12pm-3pm</t>
        </is>
      </c>
      <c r="H266" t="n">
        <v>6.5</v>
      </c>
      <c r="L266" t="inlineStr">
        <is>
          <t>migrated:TargetWeek37</t>
        </is>
      </c>
    </row>
    <row r="267">
      <c r="A267" t="inlineStr">
        <is>
          <t>2026-09-06</t>
        </is>
      </c>
      <c r="B267" t="inlineStr">
        <is>
          <t>John Manuel</t>
        </is>
      </c>
      <c r="C267" t="inlineStr">
        <is>
          <t>TL</t>
        </is>
      </c>
      <c r="F267" t="inlineStr">
        <is>
          <t>12am-8am</t>
        </is>
      </c>
      <c r="G267" t="inlineStr">
        <is>
          <t>8AM-11AM&amp;11PM-12AM</t>
        </is>
      </c>
      <c r="H267" t="n">
        <v>4</v>
      </c>
      <c r="L267" t="inlineStr">
        <is>
          <t>migrated:TargetWeek37</t>
        </is>
      </c>
    </row>
    <row r="268">
      <c r="A268" t="inlineStr">
        <is>
          <t>2026-09-06</t>
        </is>
      </c>
      <c r="B268" t="inlineStr">
        <is>
          <t>Micko Tanedo</t>
        </is>
      </c>
      <c r="C268" t="inlineStr">
        <is>
          <t>TL</t>
        </is>
      </c>
      <c r="F268" t="inlineStr">
        <is>
          <t>CANCEL OFF</t>
        </is>
      </c>
      <c r="G268" t="inlineStr">
        <is>
          <t>6AM-08AM</t>
        </is>
      </c>
      <c r="H268" t="n">
        <v>2</v>
      </c>
      <c r="L268" t="inlineStr">
        <is>
          <t>migrated:TargetWeek37</t>
        </is>
      </c>
    </row>
    <row r="269">
      <c r="A269" t="inlineStr">
        <is>
          <t>2026-09-07</t>
        </is>
      </c>
      <c r="B269" t="inlineStr">
        <is>
          <t>Alyssa</t>
        </is>
      </c>
      <c r="C269" t="inlineStr">
        <is>
          <t>TL</t>
        </is>
      </c>
      <c r="F269" t="inlineStr">
        <is>
          <t>CANCEL OFF</t>
        </is>
      </c>
      <c r="G269" t="inlineStr">
        <is>
          <t>3pm-4pm</t>
        </is>
      </c>
      <c r="H269" t="n">
        <v>1</v>
      </c>
      <c r="L269" t="inlineStr">
        <is>
          <t>migrated:TargetWeek37</t>
        </is>
      </c>
    </row>
    <row r="270">
      <c r="A270" t="inlineStr">
        <is>
          <t>2026-09-07</t>
        </is>
      </c>
      <c r="B270" t="inlineStr">
        <is>
          <t>John Manuel</t>
        </is>
      </c>
      <c r="C270" t="inlineStr">
        <is>
          <t>TL</t>
        </is>
      </c>
      <c r="F270" t="inlineStr">
        <is>
          <t>12am-8am</t>
        </is>
      </c>
      <c r="G270" t="inlineStr">
        <is>
          <t>8AM-11AM&amp;9PM-12AM</t>
        </is>
      </c>
      <c r="H270" t="n">
        <v>6</v>
      </c>
      <c r="L270" t="inlineStr">
        <is>
          <t>migrated:TargetWeek37</t>
        </is>
      </c>
    </row>
    <row r="271">
      <c r="A271" t="inlineStr">
        <is>
          <t>2026-09-07</t>
        </is>
      </c>
      <c r="B271" t="inlineStr">
        <is>
          <t>Micko Tanedo</t>
        </is>
      </c>
      <c r="C271" t="inlineStr">
        <is>
          <t>TL</t>
        </is>
      </c>
      <c r="F271" t="inlineStr">
        <is>
          <t>8am-4pm</t>
        </is>
      </c>
      <c r="G271" t="inlineStr">
        <is>
          <t>6AM-8AM</t>
        </is>
      </c>
      <c r="H271" t="n">
        <v>2</v>
      </c>
      <c r="L271" t="inlineStr">
        <is>
          <t>migrated:TargetWeek37</t>
        </is>
      </c>
    </row>
    <row r="272">
      <c r="A272" t="inlineStr">
        <is>
          <t>2026-09-08</t>
        </is>
      </c>
      <c r="B272" t="inlineStr">
        <is>
          <t>Alyssa</t>
        </is>
      </c>
      <c r="C272" t="inlineStr">
        <is>
          <t>TL</t>
        </is>
      </c>
      <c r="F272" t="inlineStr">
        <is>
          <t>3pm-10pm</t>
        </is>
      </c>
      <c r="G272" t="inlineStr">
        <is>
          <t>6am-8am&amp;2pm-4pm</t>
        </is>
      </c>
      <c r="H272" t="n">
        <v>4</v>
      </c>
      <c r="L272" t="inlineStr">
        <is>
          <t>migrated:TargetWeek37</t>
        </is>
      </c>
    </row>
    <row r="273">
      <c r="A273" t="inlineStr">
        <is>
          <t>2026-09-08</t>
        </is>
      </c>
      <c r="B273" t="inlineStr">
        <is>
          <t>John Manuel</t>
        </is>
      </c>
      <c r="C273" t="inlineStr">
        <is>
          <t>TL</t>
        </is>
      </c>
      <c r="F273" t="inlineStr">
        <is>
          <t>10pm-4am</t>
        </is>
      </c>
      <c r="G273" t="inlineStr">
        <is>
          <t>8AM-10AM&amp;8PM-10PM</t>
        </is>
      </c>
      <c r="H273" t="n">
        <v>4</v>
      </c>
      <c r="L273" t="inlineStr">
        <is>
          <t>migrated:TargetWeek37</t>
        </is>
      </c>
    </row>
    <row r="274">
      <c r="A274" t="inlineStr">
        <is>
          <t>2026-09-08</t>
        </is>
      </c>
      <c r="B274" t="inlineStr">
        <is>
          <t>Micko Tanedo</t>
        </is>
      </c>
      <c r="C274" t="inlineStr">
        <is>
          <t>TL</t>
        </is>
      </c>
      <c r="F274" t="inlineStr">
        <is>
          <t>8am-3pm</t>
        </is>
      </c>
      <c r="G274" t="inlineStr">
        <is>
          <t>6AM-8AM</t>
        </is>
      </c>
      <c r="H274" t="n">
        <v>2</v>
      </c>
      <c r="L274" t="inlineStr">
        <is>
          <t>migrated:TargetWeek37</t>
        </is>
      </c>
    </row>
    <row r="275">
      <c r="A275" t="inlineStr">
        <is>
          <t>2026-09-09</t>
        </is>
      </c>
      <c r="B275" t="inlineStr">
        <is>
          <t>Alyssa</t>
        </is>
      </c>
      <c r="C275" t="inlineStr">
        <is>
          <t>TL</t>
        </is>
      </c>
      <c r="F275" t="inlineStr">
        <is>
          <t>4pm-12am</t>
        </is>
      </c>
      <c r="G275" t="inlineStr">
        <is>
          <t>2:30pm-4pm</t>
        </is>
      </c>
      <c r="H275" t="n">
        <v>1.5</v>
      </c>
      <c r="L275" t="inlineStr">
        <is>
          <t>migrated:TargetWeek37</t>
        </is>
      </c>
    </row>
    <row r="276">
      <c r="A276" t="inlineStr">
        <is>
          <t>2026-09-09</t>
        </is>
      </c>
      <c r="B276" t="inlineStr">
        <is>
          <t>John Manuel</t>
        </is>
      </c>
      <c r="C276" t="inlineStr">
        <is>
          <t>TL</t>
        </is>
      </c>
      <c r="F276" t="inlineStr">
        <is>
          <t>12am-8am</t>
        </is>
      </c>
      <c r="G276" t="inlineStr">
        <is>
          <t>9AM-12PM&amp;9PM-12AM</t>
        </is>
      </c>
      <c r="H276" t="n">
        <v>6</v>
      </c>
      <c r="L276" t="inlineStr">
        <is>
          <t>migrated:TargetWeek37</t>
        </is>
      </c>
    </row>
    <row r="277">
      <c r="A277" t="inlineStr">
        <is>
          <t>2026-09-10</t>
        </is>
      </c>
      <c r="B277" t="inlineStr">
        <is>
          <t>Alyssa</t>
        </is>
      </c>
      <c r="C277" t="inlineStr">
        <is>
          <t>TL</t>
        </is>
      </c>
      <c r="F277" t="inlineStr">
        <is>
          <t>4pm-12am</t>
        </is>
      </c>
      <c r="G277" t="inlineStr">
        <is>
          <t>8am-9am&amp;3pm-4pm</t>
        </is>
      </c>
      <c r="H277" t="n">
        <v>2</v>
      </c>
      <c r="L277" t="inlineStr">
        <is>
          <t>migrated:TargetWeek37</t>
        </is>
      </c>
    </row>
    <row r="278">
      <c r="A278" t="inlineStr">
        <is>
          <t>2026-09-10</t>
        </is>
      </c>
      <c r="B278" t="inlineStr">
        <is>
          <t>John Manuel</t>
        </is>
      </c>
      <c r="C278" t="inlineStr">
        <is>
          <t>TL</t>
        </is>
      </c>
      <c r="F278" t="inlineStr">
        <is>
          <t>CANCEL OFF</t>
        </is>
      </c>
      <c r="G278" t="inlineStr">
        <is>
          <t>8AM-11AM&amp;9PM-12AM</t>
        </is>
      </c>
      <c r="H278" t="n">
        <v>6</v>
      </c>
      <c r="L278" t="inlineStr">
        <is>
          <t>migrated:TargetWeek37</t>
        </is>
      </c>
    </row>
    <row r="279">
      <c r="A279" t="inlineStr">
        <is>
          <t>2026-09-10</t>
        </is>
      </c>
      <c r="B279" t="inlineStr">
        <is>
          <t>Micko Tanedo</t>
        </is>
      </c>
      <c r="C279" t="inlineStr">
        <is>
          <t>TL</t>
        </is>
      </c>
      <c r="F279" t="inlineStr">
        <is>
          <t>8am-4pm</t>
        </is>
      </c>
      <c r="G279" t="inlineStr">
        <is>
          <t>6AM-8AM</t>
        </is>
      </c>
      <c r="H279" t="n">
        <v>2</v>
      </c>
      <c r="L279" t="inlineStr">
        <is>
          <t>migrated:TargetWeek37</t>
        </is>
      </c>
    </row>
    <row r="280">
      <c r="A280" t="inlineStr">
        <is>
          <t>2026-09-11</t>
        </is>
      </c>
      <c r="B280" t="inlineStr">
        <is>
          <t>Alyssa</t>
        </is>
      </c>
      <c r="C280" t="inlineStr">
        <is>
          <t>TL</t>
        </is>
      </c>
      <c r="F280" t="inlineStr">
        <is>
          <t>CANCEL OFF</t>
        </is>
      </c>
      <c r="G280" t="inlineStr">
        <is>
          <t>8am-9am&amp;2pm-4pm</t>
        </is>
      </c>
      <c r="H280" t="n">
        <v>3</v>
      </c>
      <c r="L280" t="inlineStr">
        <is>
          <t>migrated:TargetWeek37</t>
        </is>
      </c>
    </row>
    <row r="281">
      <c r="A281" t="inlineStr">
        <is>
          <t>2026-09-11</t>
        </is>
      </c>
      <c r="B281" t="inlineStr">
        <is>
          <t>John Manuel</t>
        </is>
      </c>
      <c r="C281" t="inlineStr">
        <is>
          <t>TL</t>
        </is>
      </c>
      <c r="F281" t="inlineStr">
        <is>
          <t>12am-8am</t>
        </is>
      </c>
      <c r="G281" t="inlineStr">
        <is>
          <t>8AM-11AM&amp;9PM-12AM</t>
        </is>
      </c>
      <c r="H281" t="n">
        <v>6</v>
      </c>
      <c r="L281" t="inlineStr">
        <is>
          <t>migrated:TargetWeek37</t>
        </is>
      </c>
    </row>
    <row r="282">
      <c r="A282" t="inlineStr">
        <is>
          <t>2026-09-11</t>
        </is>
      </c>
      <c r="B282" t="inlineStr">
        <is>
          <t>Micko Tanedo</t>
        </is>
      </c>
      <c r="C282" t="inlineStr">
        <is>
          <t>TL</t>
        </is>
      </c>
      <c r="F282" t="inlineStr">
        <is>
          <t>8am-4pm</t>
        </is>
      </c>
      <c r="G282" t="inlineStr">
        <is>
          <t>7am-8am</t>
        </is>
      </c>
      <c r="H282" t="n">
        <v>1</v>
      </c>
      <c r="L282" t="inlineStr">
        <is>
          <t>migrated:TargetWeek37</t>
        </is>
      </c>
    </row>
    <row r="283">
      <c r="A283" t="inlineStr">
        <is>
          <t>2026-09-12</t>
        </is>
      </c>
      <c r="B283" t="inlineStr">
        <is>
          <t>Alyssa</t>
        </is>
      </c>
      <c r="C283" t="inlineStr">
        <is>
          <t>TL</t>
        </is>
      </c>
      <c r="F283" t="inlineStr">
        <is>
          <t>4pm-12am</t>
        </is>
      </c>
      <c r="G283" t="inlineStr">
        <is>
          <t>8am-11am&amp;12:30pm-4pm</t>
        </is>
      </c>
      <c r="H283" t="n">
        <v>7.5</v>
      </c>
      <c r="L283" t="inlineStr">
        <is>
          <t>migrated:TargetWeek37</t>
        </is>
      </c>
    </row>
    <row r="284">
      <c r="A284" t="inlineStr">
        <is>
          <t>2026-09-12</t>
        </is>
      </c>
      <c r="B284" t="inlineStr">
        <is>
          <t>John Manuel</t>
        </is>
      </c>
      <c r="C284" t="inlineStr">
        <is>
          <t>TL</t>
        </is>
      </c>
      <c r="F284" t="inlineStr">
        <is>
          <t>CANCEL OFF</t>
        </is>
      </c>
      <c r="G284" t="inlineStr">
        <is>
          <t>8AM-11AM&amp;9PM-12AM</t>
        </is>
      </c>
      <c r="H284" t="n">
        <v>6</v>
      </c>
      <c r="L284" t="inlineStr">
        <is>
          <t>migrated:TargetWeek37</t>
        </is>
      </c>
    </row>
    <row r="285">
      <c r="A285" t="inlineStr">
        <is>
          <t>2026-09-12</t>
        </is>
      </c>
      <c r="B285" t="inlineStr">
        <is>
          <t>Micko Tanedo</t>
        </is>
      </c>
      <c r="C285" t="inlineStr">
        <is>
          <t>TL</t>
        </is>
      </c>
      <c r="F285" t="inlineStr">
        <is>
          <t>8am-4pm</t>
        </is>
      </c>
      <c r="G285" t="inlineStr">
        <is>
          <t>7am-8am</t>
        </is>
      </c>
      <c r="H285" t="n">
        <v>1</v>
      </c>
      <c r="L285" t="inlineStr">
        <is>
          <t>migrated:TargetWeek37</t>
        </is>
      </c>
    </row>
    <row r="286">
      <c r="A286" t="inlineStr">
        <is>
          <t>2026-09-13</t>
        </is>
      </c>
      <c r="B286" t="inlineStr">
        <is>
          <t>Alyssa</t>
        </is>
      </c>
      <c r="C286" t="inlineStr">
        <is>
          <t>TL</t>
        </is>
      </c>
      <c r="F286" t="inlineStr">
        <is>
          <t>CANCEL OFF</t>
        </is>
      </c>
      <c r="G286" t="inlineStr">
        <is>
          <t>6:30am-9am&amp;1:30pm-4pm</t>
        </is>
      </c>
      <c r="H286" t="n">
        <v>5</v>
      </c>
      <c r="L286" t="inlineStr">
        <is>
          <t>migrated:TargetWeek38</t>
        </is>
      </c>
    </row>
    <row r="287">
      <c r="A287" t="inlineStr">
        <is>
          <t>2026-09-13</t>
        </is>
      </c>
      <c r="B287" t="inlineStr">
        <is>
          <t>John Manuel</t>
        </is>
      </c>
      <c r="C287" t="inlineStr">
        <is>
          <t>TL</t>
        </is>
      </c>
      <c r="F287" t="inlineStr">
        <is>
          <t>12am-8am</t>
        </is>
      </c>
      <c r="G287" t="inlineStr">
        <is>
          <t>8AM-11AM&amp;9PM-12AM</t>
        </is>
      </c>
      <c r="H287" t="n">
        <v>6</v>
      </c>
      <c r="L287" t="inlineStr">
        <is>
          <t>migrated:TargetWeek38</t>
        </is>
      </c>
    </row>
    <row r="288">
      <c r="A288" t="inlineStr">
        <is>
          <t>2026-09-13</t>
        </is>
      </c>
      <c r="B288" t="inlineStr">
        <is>
          <t>Micko Tanedo</t>
        </is>
      </c>
      <c r="C288" t="inlineStr">
        <is>
          <t>TL</t>
        </is>
      </c>
      <c r="F288" t="inlineStr">
        <is>
          <t>CANCEL OFF</t>
        </is>
      </c>
      <c r="G288" t="inlineStr">
        <is>
          <t>7am-8am</t>
        </is>
      </c>
      <c r="H288" t="n">
        <v>1</v>
      </c>
      <c r="L288" t="inlineStr">
        <is>
          <t>migrated:TargetWeek38</t>
        </is>
      </c>
    </row>
    <row r="289">
      <c r="A289" t="inlineStr">
        <is>
          <t>2026-09-14</t>
        </is>
      </c>
      <c r="B289" t="inlineStr">
        <is>
          <t>Alyssa</t>
        </is>
      </c>
      <c r="C289" t="inlineStr">
        <is>
          <t>TL</t>
        </is>
      </c>
      <c r="F289" t="inlineStr">
        <is>
          <t>4pm-12am</t>
        </is>
      </c>
      <c r="G289" t="inlineStr">
        <is>
          <t>3pm-4pm</t>
        </is>
      </c>
      <c r="H289" t="n">
        <v>1</v>
      </c>
      <c r="L289" t="inlineStr">
        <is>
          <t>migrated:TargetWeek38</t>
        </is>
      </c>
    </row>
    <row r="290">
      <c r="A290" t="inlineStr">
        <is>
          <t>2026-09-14</t>
        </is>
      </c>
      <c r="B290" t="inlineStr">
        <is>
          <t>John Manuel</t>
        </is>
      </c>
      <c r="C290" t="inlineStr">
        <is>
          <t>TL</t>
        </is>
      </c>
      <c r="F290" t="inlineStr">
        <is>
          <t>12am-8am</t>
        </is>
      </c>
      <c r="G290" t="inlineStr">
        <is>
          <t>8AM-11AM&amp;9PM-12AM</t>
        </is>
      </c>
      <c r="H290" t="n">
        <v>6</v>
      </c>
      <c r="L290" t="inlineStr">
        <is>
          <t>migrated:TargetWeek38</t>
        </is>
      </c>
    </row>
    <row r="291">
      <c r="A291" t="inlineStr">
        <is>
          <t>2026-09-14</t>
        </is>
      </c>
      <c r="B291" t="inlineStr">
        <is>
          <t>Micko Tanedo</t>
        </is>
      </c>
      <c r="C291" t="inlineStr">
        <is>
          <t>TL</t>
        </is>
      </c>
      <c r="F291" t="inlineStr">
        <is>
          <t>8am-4pm</t>
        </is>
      </c>
      <c r="G291" t="inlineStr">
        <is>
          <t>7am-8am</t>
        </is>
      </c>
      <c r="H291" t="n">
        <v>1</v>
      </c>
      <c r="L291" t="inlineStr">
        <is>
          <t>migrated:TargetWeek38</t>
        </is>
      </c>
    </row>
    <row r="292">
      <c r="A292" t="inlineStr">
        <is>
          <t>2026-09-15</t>
        </is>
      </c>
      <c r="B292" t="inlineStr">
        <is>
          <t>Alyssa</t>
        </is>
      </c>
      <c r="C292" t="inlineStr">
        <is>
          <t>TL</t>
        </is>
      </c>
      <c r="F292" t="inlineStr">
        <is>
          <t>3pm-10pm</t>
        </is>
      </c>
      <c r="G292" t="inlineStr">
        <is>
          <t>6am-8am</t>
        </is>
      </c>
      <c r="H292" t="n">
        <v>2</v>
      </c>
      <c r="L292" t="inlineStr">
        <is>
          <t>migrated:TargetWeek38</t>
        </is>
      </c>
    </row>
    <row r="293">
      <c r="A293" t="inlineStr">
        <is>
          <t>2026-09-15</t>
        </is>
      </c>
      <c r="B293" t="inlineStr">
        <is>
          <t>John Manuel</t>
        </is>
      </c>
      <c r="C293" t="inlineStr">
        <is>
          <t>TL</t>
        </is>
      </c>
      <c r="F293" t="inlineStr">
        <is>
          <t>10pm-4am</t>
        </is>
      </c>
      <c r="G293" t="inlineStr">
        <is>
          <t>8AM-11AM&amp;PM-10PM</t>
        </is>
      </c>
      <c r="H293" t="n">
        <v>5</v>
      </c>
      <c r="L293" t="inlineStr">
        <is>
          <t>migrated:TargetWeek38</t>
        </is>
      </c>
    </row>
    <row r="294">
      <c r="A294" t="inlineStr">
        <is>
          <t>2026-09-15</t>
        </is>
      </c>
      <c r="B294" t="inlineStr">
        <is>
          <t>Micko Tanedo</t>
        </is>
      </c>
      <c r="C294" t="inlineStr">
        <is>
          <t>TL</t>
        </is>
      </c>
      <c r="F294" t="inlineStr">
        <is>
          <t>8am-3pm</t>
        </is>
      </c>
      <c r="G294" t="inlineStr">
        <is>
          <t>7am-8am</t>
        </is>
      </c>
      <c r="H294" t="n">
        <v>1</v>
      </c>
      <c r="L294" t="inlineStr">
        <is>
          <t>migrated:TargetWeek38</t>
        </is>
      </c>
    </row>
    <row r="295">
      <c r="A295" t="inlineStr">
        <is>
          <t>2026-09-16</t>
        </is>
      </c>
      <c r="B295" t="inlineStr">
        <is>
          <t>Alyssa</t>
        </is>
      </c>
      <c r="C295" t="inlineStr">
        <is>
          <t>TL</t>
        </is>
      </c>
      <c r="F295" t="inlineStr">
        <is>
          <t>4pm-12am</t>
        </is>
      </c>
      <c r="G295" t="inlineStr">
        <is>
          <t>3pm-4pm</t>
        </is>
      </c>
      <c r="H295" t="n">
        <v>1</v>
      </c>
      <c r="L295" t="inlineStr">
        <is>
          <t>migrated:TargetWeek38</t>
        </is>
      </c>
    </row>
    <row r="296">
      <c r="A296" t="inlineStr">
        <is>
          <t>2026-09-16</t>
        </is>
      </c>
      <c r="B296" t="inlineStr">
        <is>
          <t>John Manuel</t>
        </is>
      </c>
      <c r="C296" t="inlineStr">
        <is>
          <t>TL</t>
        </is>
      </c>
      <c r="F296" t="inlineStr">
        <is>
          <t>12am-8am</t>
        </is>
      </c>
      <c r="G296" t="inlineStr">
        <is>
          <t>9PM-12AM</t>
        </is>
      </c>
      <c r="H296" t="n">
        <v>3</v>
      </c>
      <c r="L296" t="inlineStr">
        <is>
          <t>migrated:TargetWeek38</t>
        </is>
      </c>
    </row>
    <row r="297">
      <c r="A297" t="inlineStr">
        <is>
          <t>2026-09-17</t>
        </is>
      </c>
      <c r="B297" t="inlineStr">
        <is>
          <t>Alyssa</t>
        </is>
      </c>
      <c r="C297" t="inlineStr">
        <is>
          <t>TL</t>
        </is>
      </c>
      <c r="F297" t="inlineStr">
        <is>
          <t>4pm-12am</t>
        </is>
      </c>
      <c r="G297" t="inlineStr">
        <is>
          <t>2pm-4pm</t>
        </is>
      </c>
      <c r="H297" t="n">
        <v>2</v>
      </c>
      <c r="L297" t="inlineStr">
        <is>
          <t>migrated:TargetWeek38</t>
        </is>
      </c>
    </row>
    <row r="298">
      <c r="A298" t="inlineStr">
        <is>
          <t>2026-09-17</t>
        </is>
      </c>
      <c r="B298" t="inlineStr">
        <is>
          <t>John Manuel</t>
        </is>
      </c>
      <c r="C298" t="inlineStr">
        <is>
          <t>TL</t>
        </is>
      </c>
      <c r="F298" t="inlineStr">
        <is>
          <t>CANCEL OFF</t>
        </is>
      </c>
      <c r="G298" t="inlineStr">
        <is>
          <t>8AM-11AM&amp;11PM-12AM</t>
        </is>
      </c>
      <c r="H298" t="n">
        <v>4</v>
      </c>
      <c r="L298" t="inlineStr">
        <is>
          <t>migrated:TargetWeek38</t>
        </is>
      </c>
    </row>
    <row r="299">
      <c r="A299" t="inlineStr">
        <is>
          <t>2026-09-17</t>
        </is>
      </c>
      <c r="B299" t="inlineStr">
        <is>
          <t>Micko Tanedo</t>
        </is>
      </c>
      <c r="C299" t="inlineStr">
        <is>
          <t>TL</t>
        </is>
      </c>
      <c r="F299" t="inlineStr">
        <is>
          <t>8am-4pm</t>
        </is>
      </c>
      <c r="G299" t="inlineStr">
        <is>
          <t>7am-8am</t>
        </is>
      </c>
      <c r="H299" t="n">
        <v>1</v>
      </c>
      <c r="L299" t="inlineStr">
        <is>
          <t>migrated:TargetWeek38</t>
        </is>
      </c>
    </row>
    <row r="300">
      <c r="A300" t="inlineStr">
        <is>
          <t>2026-09-18</t>
        </is>
      </c>
      <c r="B300" t="inlineStr">
        <is>
          <t>Alyssa</t>
        </is>
      </c>
      <c r="C300" t="inlineStr">
        <is>
          <t>TL</t>
        </is>
      </c>
      <c r="F300" t="inlineStr">
        <is>
          <t>4pm-12am</t>
        </is>
      </c>
      <c r="G300" t="inlineStr">
        <is>
          <t>8am-9am&amp;2pm-4pm</t>
        </is>
      </c>
      <c r="H300" t="n">
        <v>3</v>
      </c>
      <c r="L300" t="inlineStr">
        <is>
          <t>migrated:TargetWeek38</t>
        </is>
      </c>
    </row>
    <row r="301">
      <c r="A301" t="inlineStr">
        <is>
          <t>2026-09-18</t>
        </is>
      </c>
      <c r="B301" t="inlineStr">
        <is>
          <t>John Manuel</t>
        </is>
      </c>
      <c r="C301" t="inlineStr">
        <is>
          <t>TL</t>
        </is>
      </c>
      <c r="F301" t="inlineStr">
        <is>
          <t>12am-8am</t>
        </is>
      </c>
      <c r="G301" t="inlineStr">
        <is>
          <t>8AM-10AM&amp;11PM-12AM</t>
        </is>
      </c>
      <c r="H301" t="n">
        <v>3</v>
      </c>
      <c r="L301" t="inlineStr">
        <is>
          <t>migrated:TargetWeek38</t>
        </is>
      </c>
    </row>
    <row r="302">
      <c r="A302" t="inlineStr">
        <is>
          <t>2026-09-18</t>
        </is>
      </c>
      <c r="B302" t="inlineStr">
        <is>
          <t>Micko Tanedo</t>
        </is>
      </c>
      <c r="C302" t="inlineStr">
        <is>
          <t>TL</t>
        </is>
      </c>
      <c r="F302" t="inlineStr">
        <is>
          <t>8am-4pm</t>
        </is>
      </c>
      <c r="G302" t="inlineStr">
        <is>
          <t>7am-8am</t>
        </is>
      </c>
      <c r="H302" t="n">
        <v>1</v>
      </c>
      <c r="L302" t="inlineStr">
        <is>
          <t>migrated:TargetWeek38</t>
        </is>
      </c>
    </row>
    <row r="303">
      <c r="A303" t="inlineStr">
        <is>
          <t>2026-09-19</t>
        </is>
      </c>
      <c r="B303" t="inlineStr">
        <is>
          <t>Alyssa</t>
        </is>
      </c>
      <c r="C303" t="inlineStr">
        <is>
          <t>TL</t>
        </is>
      </c>
      <c r="F303" t="inlineStr">
        <is>
          <t>CANCEL OFF</t>
        </is>
      </c>
      <c r="G303" t="inlineStr">
        <is>
          <t>9am-12:30&amp;3pm-4pm</t>
        </is>
      </c>
      <c r="H303" t="n">
        <v>4.5</v>
      </c>
      <c r="L303" t="inlineStr">
        <is>
          <t>migrated:TargetWeek38</t>
        </is>
      </c>
    </row>
    <row r="304">
      <c r="A304" t="inlineStr">
        <is>
          <t>2026-09-19</t>
        </is>
      </c>
      <c r="B304" t="inlineStr">
        <is>
          <t>John Manuel</t>
        </is>
      </c>
      <c r="C304" t="inlineStr">
        <is>
          <t>TL</t>
        </is>
      </c>
      <c r="F304" t="inlineStr">
        <is>
          <t>CANCEL OFF</t>
        </is>
      </c>
      <c r="G304" t="inlineStr">
        <is>
          <t>8AM-10AM</t>
        </is>
      </c>
      <c r="H304" t="n">
        <v>2</v>
      </c>
      <c r="L304" t="inlineStr">
        <is>
          <t>migrated:TargetWeek38</t>
        </is>
      </c>
    </row>
    <row r="305">
      <c r="A305" t="inlineStr">
        <is>
          <t>2026-09-19</t>
        </is>
      </c>
      <c r="B305" t="inlineStr">
        <is>
          <t>Micko Tanedo</t>
        </is>
      </c>
      <c r="C305" t="inlineStr">
        <is>
          <t>TL</t>
        </is>
      </c>
      <c r="F305" t="inlineStr">
        <is>
          <t>8am-4pm</t>
        </is>
      </c>
      <c r="G305" t="inlineStr">
        <is>
          <t>7am-8am</t>
        </is>
      </c>
      <c r="H305" t="n">
        <v>1</v>
      </c>
      <c r="L305" t="inlineStr">
        <is>
          <t>migrated:TargetWeek38</t>
        </is>
      </c>
    </row>
    <row r="306">
      <c r="A306" t="inlineStr">
        <is>
          <t>2026-09-20</t>
        </is>
      </c>
      <c r="B306" t="inlineStr">
        <is>
          <t>Alyssa</t>
        </is>
      </c>
      <c r="C306" t="inlineStr">
        <is>
          <t>TL</t>
        </is>
      </c>
      <c r="F306" t="inlineStr">
        <is>
          <t>4pm-12am</t>
        </is>
      </c>
      <c r="G306" t="inlineStr">
        <is>
          <t>12pm-4pm</t>
        </is>
      </c>
      <c r="H306" t="n">
        <v>4</v>
      </c>
      <c r="L306" t="inlineStr">
        <is>
          <t>migrated:TargetWeek39(9.20~9.26.)</t>
        </is>
      </c>
    </row>
    <row r="307">
      <c r="A307" t="inlineStr">
        <is>
          <t>2026-09-20</t>
        </is>
      </c>
      <c r="B307" t="inlineStr">
        <is>
          <t>John Manuel</t>
        </is>
      </c>
      <c r="C307" t="inlineStr">
        <is>
          <t>TL</t>
        </is>
      </c>
      <c r="F307" t="inlineStr">
        <is>
          <t>12am-8am</t>
        </is>
      </c>
      <c r="G307" t="inlineStr">
        <is>
          <t>11PM-12AM</t>
        </is>
      </c>
      <c r="H307" t="n">
        <v>1</v>
      </c>
      <c r="L307" t="inlineStr">
        <is>
          <t>migrated:TargetWeek39(9.20~9.26.)</t>
        </is>
      </c>
    </row>
    <row r="308">
      <c r="A308" t="inlineStr">
        <is>
          <t>2026-09-21</t>
        </is>
      </c>
      <c r="B308" t="inlineStr">
        <is>
          <t>Alyssa</t>
        </is>
      </c>
      <c r="C308" t="inlineStr">
        <is>
          <t>TL</t>
        </is>
      </c>
      <c r="F308" t="inlineStr">
        <is>
          <t>CANCEL OFF</t>
        </is>
      </c>
      <c r="G308" t="inlineStr">
        <is>
          <t>3PM-4PM</t>
        </is>
      </c>
      <c r="H308" t="n">
        <v>1</v>
      </c>
      <c r="L308" t="inlineStr">
        <is>
          <t>migrated:TargetWeek39(9.20~9.26.)</t>
        </is>
      </c>
    </row>
    <row r="309">
      <c r="A309" t="inlineStr">
        <is>
          <t>2026-09-21</t>
        </is>
      </c>
      <c r="B309" t="inlineStr">
        <is>
          <t>John Manuel</t>
        </is>
      </c>
      <c r="C309" t="inlineStr">
        <is>
          <t>TL</t>
        </is>
      </c>
      <c r="F309" t="inlineStr">
        <is>
          <t>12am-8am</t>
        </is>
      </c>
      <c r="G309" t="inlineStr">
        <is>
          <t>8AM-10AM&amp;10PM-12AM</t>
        </is>
      </c>
      <c r="H309" t="n">
        <v>4</v>
      </c>
      <c r="L309" t="inlineStr">
        <is>
          <t>migrated:TargetWeek39(9.20~9.26.)</t>
        </is>
      </c>
    </row>
    <row r="310">
      <c r="A310" t="inlineStr">
        <is>
          <t>2026-09-21</t>
        </is>
      </c>
      <c r="B310" t="inlineStr">
        <is>
          <t>Micko Tanedo</t>
        </is>
      </c>
      <c r="C310" t="inlineStr">
        <is>
          <t>TL</t>
        </is>
      </c>
      <c r="F310" t="inlineStr">
        <is>
          <t>8am-4pm</t>
        </is>
      </c>
      <c r="G310" t="inlineStr">
        <is>
          <t>7am-8am</t>
        </is>
      </c>
      <c r="H310" t="n">
        <v>1</v>
      </c>
      <c r="L310" t="inlineStr">
        <is>
          <t>migrated:TargetWeek39(9.20~9.26.)</t>
        </is>
      </c>
    </row>
    <row r="311">
      <c r="A311" t="inlineStr">
        <is>
          <t>2026-09-22</t>
        </is>
      </c>
      <c r="B311" t="inlineStr">
        <is>
          <t>John Manuel</t>
        </is>
      </c>
      <c r="C311" t="inlineStr">
        <is>
          <t>TL</t>
        </is>
      </c>
      <c r="F311" t="inlineStr">
        <is>
          <t>10pm-4am</t>
        </is>
      </c>
      <c r="G311" t="inlineStr">
        <is>
          <t>8PM-10PM</t>
        </is>
      </c>
      <c r="H311" t="n">
        <v>2</v>
      </c>
      <c r="L311" t="inlineStr">
        <is>
          <t>migrated:TargetWeek39(9.20~9.26.)</t>
        </is>
      </c>
    </row>
    <row r="312">
      <c r="A312" t="inlineStr">
        <is>
          <t>2026-09-23</t>
        </is>
      </c>
      <c r="B312" t="inlineStr">
        <is>
          <t>Alyssa</t>
        </is>
      </c>
      <c r="C312" t="inlineStr">
        <is>
          <t>TL</t>
        </is>
      </c>
      <c r="F312" t="inlineStr">
        <is>
          <t>4pm-12am</t>
        </is>
      </c>
      <c r="G312" t="inlineStr">
        <is>
          <t>1pm-4pm</t>
        </is>
      </c>
      <c r="H312" t="n">
        <v>3</v>
      </c>
      <c r="L312" t="inlineStr">
        <is>
          <t>migrated:TargetWeek39(9.20~9.26.)</t>
        </is>
      </c>
    </row>
    <row r="313">
      <c r="A313" t="inlineStr">
        <is>
          <t>2026-09-23</t>
        </is>
      </c>
      <c r="B313" t="inlineStr">
        <is>
          <t>John Manuel</t>
        </is>
      </c>
      <c r="C313" t="inlineStr">
        <is>
          <t>TL</t>
        </is>
      </c>
      <c r="F313" t="inlineStr">
        <is>
          <t>12am-8am</t>
        </is>
      </c>
      <c r="G313" t="inlineStr">
        <is>
          <t>10:30AM-1:30PM&amp;11PM-12AM</t>
        </is>
      </c>
      <c r="H313" t="n">
        <v>4</v>
      </c>
      <c r="L313" t="inlineStr">
        <is>
          <t>migrated:TargetWeek39(9.20~9.26.)</t>
        </is>
      </c>
    </row>
    <row r="314">
      <c r="A314" t="inlineStr">
        <is>
          <t>2026-09-24</t>
        </is>
      </c>
      <c r="B314" t="inlineStr">
        <is>
          <t>Alyssa</t>
        </is>
      </c>
      <c r="C314" t="inlineStr">
        <is>
          <t>TL</t>
        </is>
      </c>
      <c r="F314" t="inlineStr">
        <is>
          <t>4pm-12am</t>
        </is>
      </c>
      <c r="G314" t="inlineStr">
        <is>
          <t>1pm-4pm</t>
        </is>
      </c>
      <c r="H314" t="n">
        <v>3</v>
      </c>
      <c r="L314" t="inlineStr">
        <is>
          <t>migrated:TargetWeek39(9.20~9.26.)</t>
        </is>
      </c>
    </row>
    <row r="315">
      <c r="A315" t="inlineStr">
        <is>
          <t>2026-09-24</t>
        </is>
      </c>
      <c r="B315" t="inlineStr">
        <is>
          <t>John Manuel</t>
        </is>
      </c>
      <c r="C315" t="inlineStr">
        <is>
          <t>TL</t>
        </is>
      </c>
      <c r="F315" t="inlineStr">
        <is>
          <t>CANCEL OFF</t>
        </is>
      </c>
      <c r="G315" t="inlineStr">
        <is>
          <t>8AM-11AM&amp;11PM-12AM</t>
        </is>
      </c>
      <c r="H315" t="n">
        <v>4</v>
      </c>
      <c r="L315" t="inlineStr">
        <is>
          <t>migrated:TargetWeek39(9.20~9.26.)</t>
        </is>
      </c>
    </row>
    <row r="316">
      <c r="A316" t="inlineStr">
        <is>
          <t>2026-09-25</t>
        </is>
      </c>
      <c r="B316" t="inlineStr">
        <is>
          <t>John Manuel</t>
        </is>
      </c>
      <c r="C316" t="inlineStr">
        <is>
          <t>TL</t>
        </is>
      </c>
      <c r="F316" t="inlineStr">
        <is>
          <t>12am-8am</t>
        </is>
      </c>
      <c r="G316" t="inlineStr">
        <is>
          <t>8AM-11AM</t>
        </is>
      </c>
      <c r="H316" t="n">
        <v>3</v>
      </c>
      <c r="L316" t="inlineStr">
        <is>
          <t>migrated:TargetWeek39(9.20~9.26.)</t>
        </is>
      </c>
    </row>
  </sheetData>
  <autoFilter ref="A1:L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Date</t>
        </is>
      </c>
      <c r="B1" s="4" t="inlineStr">
        <is>
          <t>Staff</t>
        </is>
      </c>
      <c r="C1" s="4" t="inlineStr">
        <is>
          <t>Role</t>
        </is>
      </c>
      <c r="D1" s="4" t="inlineStr">
        <is>
          <t>Account</t>
        </is>
      </c>
      <c r="E1" s="4" t="inlineStr">
        <is>
          <t>Class</t>
        </is>
      </c>
      <c r="F1" s="4" t="inlineStr">
        <is>
          <t>Level</t>
        </is>
      </c>
      <c r="G1" s="4" t="inlineStr">
        <is>
          <t>KPI</t>
        </is>
      </c>
      <c r="H1" s="4" t="inlineStr">
        <is>
          <t>Amount</t>
        </is>
      </c>
      <c r="I1" s="4" t="inlineStr">
        <is>
          <t>Reason</t>
        </is>
      </c>
      <c r="J1" s="4" t="inlineStr">
        <is>
          <t>Manager</t>
        </is>
      </c>
      <c r="K1" s="4" t="inlineStr">
        <is>
          <t>Logged At</t>
        </is>
      </c>
      <c r="L1" s="4" t="inlineStr">
        <is>
          <t>Source</t>
        </is>
      </c>
      <c r="M1" s="11" t="inlineStr">
        <is>
          <t>Week</t>
        </is>
      </c>
      <c r="N1" s="11" t="inlineStr">
        <is>
          <t>Pay Week</t>
        </is>
      </c>
    </row>
    <row r="2">
      <c r="M2">
        <f>ARRAYFORMULA(IF(A2:A50000="",,TEXT(IF(ISNUMBER(A2:A50000),A2:A50000,IFERROR(DATEVALUE(A2:A50000)))-WEEKDAY(IF(ISNUMBER(A2:A50000),A2:A50000,IFERROR(DATEVALUE(A2:A50000))))+1,"yyyy-mm-dd")))</f>
        <v/>
      </c>
      <c r="N2">
        <f>ARRAYFORMULA(IF(A2:A50000="",,TEXT(IF(ISNUMBER(A2:A50000),A2:A50000,IFERROR(DATEVALUE(A2:A50000)))-WEEKDAY(IF(ISNUMBER(A2:A50000),A2:A50000,IFERROR(DATEVALUE(A2:A50000))),3),"yyyy-mm-dd")))</f>
        <v/>
      </c>
    </row>
  </sheetData>
  <autoFilter ref="A1:L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Date</t>
        </is>
      </c>
      <c r="B1" s="4" t="inlineStr">
        <is>
          <t>Player</t>
        </is>
      </c>
      <c r="C1" s="4" t="inlineStr">
        <is>
          <t>Character</t>
        </is>
      </c>
      <c r="D1" s="4" t="inlineStr">
        <is>
          <t>Shift</t>
        </is>
      </c>
      <c r="E1" s="4" t="inlineStr">
        <is>
          <t>Penalty Hours</t>
        </is>
      </c>
      <c r="F1" s="4" t="inlineStr">
        <is>
          <t>Action</t>
        </is>
      </c>
      <c r="G1" s="4" t="inlineStr">
        <is>
          <t>IR</t>
        </is>
      </c>
      <c r="H1" s="4" t="inlineStr">
        <is>
          <t>Manager</t>
        </is>
      </c>
      <c r="I1" s="4" t="inlineStr">
        <is>
          <t>Logged At</t>
        </is>
      </c>
      <c r="J1" s="4" t="inlineStr">
        <is>
          <t>Source</t>
        </is>
      </c>
      <c r="K1" s="11" t="inlineStr">
        <is>
          <t>Week</t>
        </is>
      </c>
      <c r="L1" s="11" t="inlineStr">
        <is>
          <t>Pay Week</t>
        </is>
      </c>
    </row>
    <row r="2">
      <c r="A2" t="inlineStr">
        <is>
          <t>2026-05-18</t>
        </is>
      </c>
      <c r="B2" t="inlineStr">
        <is>
          <t>David Ayag</t>
        </is>
      </c>
      <c r="C2" t="inlineStr">
        <is>
          <t>Perez</t>
        </is>
      </c>
      <c r="D2" t="inlineStr">
        <is>
          <t>Mid Shift</t>
        </is>
      </c>
      <c r="E2" t="n">
        <v>2</v>
      </c>
      <c r="F2" t="inlineStr">
        <is>
          <t>Removed 2 hours in the sheet</t>
        </is>
      </c>
      <c r="J2" t="inlineStr">
        <is>
          <t>migrated:Death Penalty Week 25 &amp; 26</t>
        </is>
      </c>
      <c r="K2">
        <f>ARRAYFORMULA(IF(A2:A50000="",,TEXT(IF(ISNUMBER(A2:A50000),A2:A50000,IFERROR(DATEVALUE(A2:A50000)))-WEEKDAY(IF(ISNUMBER(A2:A50000),A2:A50000,IFERROR(DATEVALUE(A2:A50000))))+1,"yyyy-mm-dd")))</f>
        <v/>
      </c>
      <c r="L2">
        <f>ARRAYFORMULA(IF(A2:A50000="",,TEXT(IF(ISNUMBER(A2:A50000),A2:A50000,IFERROR(DATEVALUE(A2:A50000)))-WEEKDAY(IF(ISNUMBER(A2:A50000),A2:A50000,IFERROR(DATEVALUE(A2:A50000))),3),"yyyy-mm-dd")))</f>
        <v/>
      </c>
    </row>
    <row r="3">
      <c r="A3" t="inlineStr">
        <is>
          <t>2026-06-15</t>
        </is>
      </c>
      <c r="B3" t="inlineStr">
        <is>
          <t>Isiah</t>
        </is>
      </c>
      <c r="C3" t="inlineStr">
        <is>
          <t>Zombie</t>
        </is>
      </c>
      <c r="D3" t="inlineStr">
        <is>
          <t>Morning Shift</t>
        </is>
      </c>
      <c r="E3" t="n">
        <v>2</v>
      </c>
      <c r="F3" t="inlineStr">
        <is>
          <t>Removed 2 hours in the sheet</t>
        </is>
      </c>
      <c r="J3" t="inlineStr">
        <is>
          <t>migrated:Death Penalty Week 25 &amp; 26</t>
        </is>
      </c>
    </row>
    <row r="4">
      <c r="A4" t="inlineStr">
        <is>
          <t>2026-06-17</t>
        </is>
      </c>
      <c r="B4" t="inlineStr">
        <is>
          <t>Jan Nino</t>
        </is>
      </c>
      <c r="C4" t="inlineStr">
        <is>
          <t>Perez</t>
        </is>
      </c>
      <c r="D4" t="inlineStr">
        <is>
          <t>Mid Shift</t>
        </is>
      </c>
      <c r="E4" t="n">
        <v>2</v>
      </c>
      <c r="F4" t="inlineStr">
        <is>
          <t>Removed 2 hours in the sheet</t>
        </is>
      </c>
      <c r="J4" t="inlineStr">
        <is>
          <t>migrated:Death Penalty Week 25 &amp; 26</t>
        </is>
      </c>
    </row>
    <row r="5">
      <c r="A5" t="inlineStr">
        <is>
          <t>2026-06-17</t>
        </is>
      </c>
      <c r="B5" t="inlineStr">
        <is>
          <t>Rhuzsel</t>
        </is>
      </c>
      <c r="C5" t="inlineStr">
        <is>
          <t>Sea</t>
        </is>
      </c>
      <c r="D5" t="inlineStr">
        <is>
          <t>GY Shift</t>
        </is>
      </c>
      <c r="E5" t="n">
        <v>2</v>
      </c>
      <c r="F5" t="inlineStr">
        <is>
          <t>Done with 2 hour extra work, already did not add to the time sheet</t>
        </is>
      </c>
      <c r="J5" t="inlineStr">
        <is>
          <t>migrated:Death Penalty Week 25 &amp; 26</t>
        </is>
      </c>
    </row>
    <row r="6">
      <c r="A6" t="inlineStr">
        <is>
          <t>2026-06-18</t>
        </is>
      </c>
      <c r="B6" t="inlineStr">
        <is>
          <t>Andaya</t>
        </is>
      </c>
      <c r="C6" t="inlineStr">
        <is>
          <t>Legend</t>
        </is>
      </c>
      <c r="D6" t="inlineStr">
        <is>
          <t>GY Shift</t>
        </is>
      </c>
      <c r="E6" t="n">
        <v>1</v>
      </c>
      <c r="F6" t="inlineStr">
        <is>
          <t>Removed 2 hours in the sheet</t>
        </is>
      </c>
      <c r="J6" t="inlineStr">
        <is>
          <t>migrated:Death Penalty Week 25 &amp; 26</t>
        </is>
      </c>
    </row>
    <row r="7">
      <c r="A7" t="inlineStr">
        <is>
          <t>2026-06-18</t>
        </is>
      </c>
      <c r="B7" t="inlineStr">
        <is>
          <t>Richard Salupari</t>
        </is>
      </c>
      <c r="C7" t="inlineStr">
        <is>
          <t>Comfort</t>
        </is>
      </c>
      <c r="D7" t="inlineStr">
        <is>
          <t>GY Shift</t>
        </is>
      </c>
      <c r="E7" t="n">
        <v>2</v>
      </c>
      <c r="F7" t="inlineStr">
        <is>
          <t>Removed 2 hours in the sheet</t>
        </is>
      </c>
      <c r="J7" t="inlineStr">
        <is>
          <t>migrated:Death Penalty Week 25 &amp; 26</t>
        </is>
      </c>
    </row>
    <row r="8">
      <c r="A8" t="inlineStr">
        <is>
          <t>2026-06-20</t>
        </is>
      </c>
      <c r="B8" t="inlineStr">
        <is>
          <t>Adrian Torres</t>
        </is>
      </c>
      <c r="C8" t="inlineStr">
        <is>
          <t>Taejo</t>
        </is>
      </c>
      <c r="D8" t="inlineStr">
        <is>
          <t>Mid Shift</t>
        </is>
      </c>
      <c r="E8" t="n">
        <v>1</v>
      </c>
      <c r="F8" t="inlineStr">
        <is>
          <t>Removed 1 hours in the sheet</t>
        </is>
      </c>
      <c r="J8" t="inlineStr">
        <is>
          <t>migrated:Death Penalty Week 25 &amp; 26</t>
        </is>
      </c>
    </row>
    <row r="9">
      <c r="A9" t="inlineStr">
        <is>
          <t>2026-06-20</t>
        </is>
      </c>
      <c r="B9" t="inlineStr">
        <is>
          <t>Cath Valdez</t>
        </is>
      </c>
      <c r="C9" t="inlineStr">
        <is>
          <t>Hockey-Elf</t>
        </is>
      </c>
      <c r="D9" t="inlineStr">
        <is>
          <t>GY Shift</t>
        </is>
      </c>
      <c r="E9" t="n">
        <v>2</v>
      </c>
      <c r="F9" t="inlineStr">
        <is>
          <t>Removed 2 hours in the sheet</t>
        </is>
      </c>
      <c r="J9" t="inlineStr">
        <is>
          <t>migrated:Death Penalty Week 25 &amp; 26</t>
        </is>
      </c>
    </row>
    <row r="10">
      <c r="A10" t="inlineStr">
        <is>
          <t>2026-06-20</t>
        </is>
      </c>
      <c r="B10" t="inlineStr">
        <is>
          <t>Erween</t>
        </is>
      </c>
      <c r="C10" t="inlineStr">
        <is>
          <t>Alex</t>
        </is>
      </c>
      <c r="D10" t="inlineStr">
        <is>
          <t>GY Shift</t>
        </is>
      </c>
      <c r="E10" t="n">
        <v>2</v>
      </c>
      <c r="F10" t="inlineStr">
        <is>
          <t>Removed 2 hours in the sheet</t>
        </is>
      </c>
      <c r="J10" t="inlineStr">
        <is>
          <t>migrated:Death Penalty Week 25 &amp; 26</t>
        </is>
      </c>
    </row>
    <row r="11">
      <c r="A11" t="inlineStr">
        <is>
          <t>2026-06-21</t>
        </is>
      </c>
      <c r="B11" t="inlineStr">
        <is>
          <t>JM Racca</t>
        </is>
      </c>
      <c r="C11" t="inlineStr">
        <is>
          <t>Dal-o</t>
        </is>
      </c>
      <c r="D11" t="inlineStr">
        <is>
          <t>GY Shift</t>
        </is>
      </c>
      <c r="E11" t="n">
        <v>2</v>
      </c>
      <c r="F11" t="inlineStr">
        <is>
          <t>Removed 2 hours in the sheet</t>
        </is>
      </c>
      <c r="J11" t="inlineStr">
        <is>
          <t>migrated:Death Penalty Week 25 &amp; 26</t>
        </is>
      </c>
    </row>
    <row r="12">
      <c r="A12" t="inlineStr">
        <is>
          <t>2026-06-21</t>
        </is>
      </c>
      <c r="B12" t="inlineStr">
        <is>
          <t>Samantha</t>
        </is>
      </c>
      <c r="C12" t="inlineStr">
        <is>
          <t>Olleh</t>
        </is>
      </c>
      <c r="D12" t="inlineStr">
        <is>
          <t>Morning Shift</t>
        </is>
      </c>
      <c r="E12" t="n">
        <v>2</v>
      </c>
      <c r="F12" t="inlineStr">
        <is>
          <t>Removed 2 hours in the sheet</t>
        </is>
      </c>
      <c r="J12" t="inlineStr">
        <is>
          <t>migrated:Death Penalty Week 25 &amp; 26</t>
        </is>
      </c>
    </row>
    <row r="13">
      <c r="A13" t="inlineStr">
        <is>
          <t>2026-06-22</t>
        </is>
      </c>
      <c r="B13" t="inlineStr">
        <is>
          <t>Andaya</t>
        </is>
      </c>
      <c r="C13" t="inlineStr">
        <is>
          <t>Legend</t>
        </is>
      </c>
      <c r="D13" t="inlineStr">
        <is>
          <t>GY Shift</t>
        </is>
      </c>
      <c r="E13" t="n">
        <v>2</v>
      </c>
      <c r="F13" t="inlineStr">
        <is>
          <t>Removed 2 hours in the sheet</t>
        </is>
      </c>
      <c r="J13" t="inlineStr">
        <is>
          <t>migrated:Death Penalty Week 25 &amp; 26</t>
        </is>
      </c>
    </row>
    <row r="14">
      <c r="A14" t="inlineStr">
        <is>
          <t>2026-06-22</t>
        </is>
      </c>
      <c r="B14" t="inlineStr">
        <is>
          <t>Ehder Lhen</t>
        </is>
      </c>
      <c r="C14" t="inlineStr">
        <is>
          <t>Zombie</t>
        </is>
      </c>
      <c r="D14" t="inlineStr">
        <is>
          <t>GY Shift</t>
        </is>
      </c>
      <c r="E14" t="n">
        <v>2</v>
      </c>
      <c r="F14" t="inlineStr">
        <is>
          <t>Removed 2 hours in the sheet</t>
        </is>
      </c>
      <c r="J14" t="inlineStr">
        <is>
          <t>migrated:Death Penalty Week 25 &amp; 26</t>
        </is>
      </c>
    </row>
    <row r="15">
      <c r="A15" t="inlineStr">
        <is>
          <t>2026-06-22</t>
        </is>
      </c>
      <c r="B15" t="inlineStr">
        <is>
          <t>Monteza</t>
        </is>
      </c>
      <c r="C15" t="inlineStr">
        <is>
          <t>Road</t>
        </is>
      </c>
      <c r="D15" t="inlineStr">
        <is>
          <t>GY Shift</t>
        </is>
      </c>
      <c r="E15" t="n">
        <v>2</v>
      </c>
      <c r="F15" t="inlineStr">
        <is>
          <t>Removed 2 hours in the sheet</t>
        </is>
      </c>
      <c r="J15" t="inlineStr">
        <is>
          <t>migrated:Death Penalty Week 25 &amp; 26</t>
        </is>
      </c>
    </row>
    <row r="16">
      <c r="A16" t="inlineStr">
        <is>
          <t>2026-06-22</t>
        </is>
      </c>
      <c r="B16" t="inlineStr">
        <is>
          <t>Patrick</t>
        </is>
      </c>
      <c r="C16" t="inlineStr">
        <is>
          <t>Alex</t>
        </is>
      </c>
      <c r="D16" t="inlineStr">
        <is>
          <t>Morning Shift</t>
        </is>
      </c>
      <c r="E16" t="n">
        <v>2</v>
      </c>
      <c r="F16" t="inlineStr">
        <is>
          <t>Removed 2 hours in the sheet</t>
        </is>
      </c>
      <c r="J16" t="inlineStr">
        <is>
          <t>migrated:Death Penalty Week 25 &amp; 26</t>
        </is>
      </c>
    </row>
    <row r="17">
      <c r="A17" t="inlineStr">
        <is>
          <t>2026-06-22</t>
        </is>
      </c>
      <c r="B17" t="inlineStr">
        <is>
          <t>Raul</t>
        </is>
      </c>
      <c r="C17" t="inlineStr">
        <is>
          <t>Dal-o</t>
        </is>
      </c>
      <c r="D17" t="inlineStr">
        <is>
          <t>GY Shift</t>
        </is>
      </c>
      <c r="E17" t="n">
        <v>2</v>
      </c>
      <c r="F17" t="inlineStr">
        <is>
          <t>Removed 2 hours in the sheet</t>
        </is>
      </c>
      <c r="J17" t="inlineStr">
        <is>
          <t>migrated:Death Penalty Week 25 &amp; 26</t>
        </is>
      </c>
    </row>
    <row r="18">
      <c r="A18" t="inlineStr">
        <is>
          <t>2026-06-25</t>
        </is>
      </c>
      <c r="B18" t="inlineStr">
        <is>
          <t>Mark Angelo</t>
        </is>
      </c>
      <c r="C18" t="inlineStr">
        <is>
          <t>Power20</t>
        </is>
      </c>
      <c r="D18" t="inlineStr">
        <is>
          <t>Morning Shift</t>
        </is>
      </c>
      <c r="E18" t="n">
        <v>2</v>
      </c>
      <c r="F18" t="inlineStr">
        <is>
          <t>Removed 2 hours in the sheet</t>
        </is>
      </c>
      <c r="J18" t="inlineStr">
        <is>
          <t>migrated:Death Penalty Week 25 &amp; 26</t>
        </is>
      </c>
    </row>
    <row r="19">
      <c r="A19" t="inlineStr">
        <is>
          <t>2026-06-25</t>
        </is>
      </c>
      <c r="B19" t="inlineStr">
        <is>
          <t>Reno</t>
        </is>
      </c>
      <c r="C19" t="inlineStr">
        <is>
          <t>Gab</t>
        </is>
      </c>
      <c r="D19" t="inlineStr">
        <is>
          <t>Morning Shift</t>
        </is>
      </c>
      <c r="E19" t="n">
        <v>1</v>
      </c>
      <c r="F19" t="inlineStr">
        <is>
          <t>Done with 1 hour extra work, Already did not add the time in the sheet</t>
        </is>
      </c>
      <c r="J19" t="inlineStr">
        <is>
          <t>migrated:Death Penalty Week 25 &amp; 26</t>
        </is>
      </c>
    </row>
    <row r="20">
      <c r="A20" t="inlineStr">
        <is>
          <t>2026-06-26</t>
        </is>
      </c>
      <c r="B20" t="inlineStr">
        <is>
          <t>Richard Salupari</t>
        </is>
      </c>
      <c r="C20" t="inlineStr">
        <is>
          <t>Mukkbo</t>
        </is>
      </c>
      <c r="D20" t="inlineStr">
        <is>
          <t>GY Shift</t>
        </is>
      </c>
      <c r="E20" t="n">
        <v>2</v>
      </c>
      <c r="F20" t="inlineStr">
        <is>
          <t>Removed 2 hours in the sheet</t>
        </is>
      </c>
      <c r="J20" t="inlineStr">
        <is>
          <t>migrated:Death Penalty Week 25 &amp; 26</t>
        </is>
      </c>
    </row>
    <row r="21">
      <c r="A21" t="inlineStr">
        <is>
          <t>2026-06-27</t>
        </is>
      </c>
      <c r="B21" t="inlineStr">
        <is>
          <t>David Ayag</t>
        </is>
      </c>
      <c r="C21" t="inlineStr">
        <is>
          <t>Perez</t>
        </is>
      </c>
      <c r="D21" t="inlineStr">
        <is>
          <t>Mid Shift</t>
        </is>
      </c>
      <c r="E21" t="n">
        <v>2</v>
      </c>
      <c r="F21" t="inlineStr">
        <is>
          <t>Removed 2 hours in the sheet</t>
        </is>
      </c>
      <c r="J21" t="inlineStr">
        <is>
          <t>migrated:Death Penalty Week 25 &amp; 26</t>
        </is>
      </c>
    </row>
    <row r="22">
      <c r="A22" t="inlineStr">
        <is>
          <t>2026-06-27</t>
        </is>
      </c>
      <c r="B22" t="inlineStr">
        <is>
          <t>Jonard</t>
        </is>
      </c>
      <c r="C22" t="inlineStr">
        <is>
          <t>Power20</t>
        </is>
      </c>
      <c r="D22" t="inlineStr">
        <is>
          <t>Morning Shift</t>
        </is>
      </c>
      <c r="E22" t="n">
        <v>2</v>
      </c>
      <c r="F22" t="inlineStr">
        <is>
          <t>Removed 2 hours in the sheet</t>
        </is>
      </c>
      <c r="J22" t="inlineStr">
        <is>
          <t>migrated:Death Penalty Week 25 &amp; 26</t>
        </is>
      </c>
    </row>
    <row r="23">
      <c r="A23" t="inlineStr">
        <is>
          <t>2026-06-28</t>
        </is>
      </c>
      <c r="B23" t="inlineStr">
        <is>
          <t>Cejay</t>
        </is>
      </c>
      <c r="C23" t="inlineStr">
        <is>
          <t>Ada</t>
        </is>
      </c>
      <c r="D23" t="inlineStr">
        <is>
          <t>Morning Shift</t>
        </is>
      </c>
      <c r="E23" t="n">
        <v>2</v>
      </c>
      <c r="F23" t="inlineStr">
        <is>
          <t>Removed 2 hours in the sheet</t>
        </is>
      </c>
      <c r="J23" t="inlineStr">
        <is>
          <t>migrated:Death Penalty Week 27 &amp; 28</t>
        </is>
      </c>
    </row>
    <row r="24">
      <c r="A24" t="inlineStr">
        <is>
          <t>2026-06-28</t>
        </is>
      </c>
      <c r="B24" t="inlineStr">
        <is>
          <t>Ginbert</t>
        </is>
      </c>
      <c r="C24" t="inlineStr">
        <is>
          <t>Power20</t>
        </is>
      </c>
      <c r="D24" t="inlineStr">
        <is>
          <t>Morning Shift</t>
        </is>
      </c>
      <c r="E24" t="n">
        <v>2</v>
      </c>
      <c r="F24" t="inlineStr">
        <is>
          <t>Removed 2 hours in the sheet</t>
        </is>
      </c>
      <c r="J24" t="inlineStr">
        <is>
          <t>migrated:Death Penalty Week 27 &amp; 28</t>
        </is>
      </c>
    </row>
    <row r="25">
      <c r="A25" t="inlineStr">
        <is>
          <t>2026-06-28</t>
        </is>
      </c>
      <c r="B25" t="inlineStr">
        <is>
          <t>Ginbert</t>
        </is>
      </c>
      <c r="C25" t="inlineStr">
        <is>
          <t>Power20</t>
        </is>
      </c>
      <c r="D25" t="inlineStr">
        <is>
          <t>Morning Shift</t>
        </is>
      </c>
      <c r="E25" t="n">
        <v>2</v>
      </c>
      <c r="F25" t="inlineStr">
        <is>
          <t>Removed 2 hours in the sheet</t>
        </is>
      </c>
      <c r="J25" t="inlineStr">
        <is>
          <t>migrated:Death Penalty Week 27 &amp; 28</t>
        </is>
      </c>
    </row>
    <row r="26">
      <c r="A26" t="inlineStr">
        <is>
          <t>2026-06-28</t>
        </is>
      </c>
      <c r="B26" t="inlineStr">
        <is>
          <t>Joseph Racca</t>
        </is>
      </c>
      <c r="C26" t="inlineStr">
        <is>
          <t>Perez</t>
        </is>
      </c>
      <c r="D26" t="inlineStr">
        <is>
          <t>GY Shift</t>
        </is>
      </c>
      <c r="E26" t="n">
        <v>2</v>
      </c>
      <c r="F26" t="inlineStr">
        <is>
          <t>Removed 2 hours in the sheet</t>
        </is>
      </c>
      <c r="J26" t="inlineStr">
        <is>
          <t>migrated:Death Penalty Week 25 &amp; 26</t>
        </is>
      </c>
    </row>
    <row r="27">
      <c r="A27" t="inlineStr">
        <is>
          <t>2026-06-28</t>
        </is>
      </c>
      <c r="B27" t="inlineStr">
        <is>
          <t>Rhuzsel</t>
        </is>
      </c>
      <c r="C27" t="inlineStr">
        <is>
          <t>Sea</t>
        </is>
      </c>
      <c r="D27" t="inlineStr">
        <is>
          <t>GY Shift</t>
        </is>
      </c>
      <c r="E27" t="n">
        <v>2</v>
      </c>
      <c r="F27" t="inlineStr">
        <is>
          <t>Removed 2 hours in the sheet</t>
        </is>
      </c>
      <c r="J27" t="inlineStr">
        <is>
          <t>migrated:Death Penalty Week 25 &amp; 26</t>
        </is>
      </c>
    </row>
    <row r="28">
      <c r="A28" t="inlineStr">
        <is>
          <t>2026-06-28</t>
        </is>
      </c>
      <c r="B28" t="inlineStr">
        <is>
          <t>Roderick</t>
        </is>
      </c>
      <c r="C28" t="inlineStr">
        <is>
          <t>Typhoon</t>
        </is>
      </c>
      <c r="D28" t="inlineStr">
        <is>
          <t>GY Shift</t>
        </is>
      </c>
      <c r="E28" t="n">
        <v>2</v>
      </c>
      <c r="F28" t="inlineStr">
        <is>
          <t>Done with 2 hour extra work, already did not add to the time sheet</t>
        </is>
      </c>
      <c r="J28" t="inlineStr">
        <is>
          <t>migrated:Death Penalty Week 25 &amp; 26</t>
        </is>
      </c>
    </row>
    <row r="29">
      <c r="A29" t="inlineStr">
        <is>
          <t>2026-06-28</t>
        </is>
      </c>
      <c r="B29" t="inlineStr">
        <is>
          <t>Roderick</t>
        </is>
      </c>
      <c r="C29" t="inlineStr">
        <is>
          <t>Typhoon</t>
        </is>
      </c>
      <c r="D29" t="inlineStr">
        <is>
          <t>GY Shift</t>
        </is>
      </c>
      <c r="E29" t="n">
        <v>2</v>
      </c>
      <c r="J29" t="inlineStr">
        <is>
          <t>migrated:Death Penalty Week 25 &amp; 26</t>
        </is>
      </c>
    </row>
    <row r="30">
      <c r="A30" t="inlineStr">
        <is>
          <t>2026-06-28</t>
        </is>
      </c>
      <c r="B30" t="inlineStr">
        <is>
          <t>Roderick</t>
        </is>
      </c>
      <c r="C30" t="inlineStr">
        <is>
          <t>Typhoon</t>
        </is>
      </c>
      <c r="D30" t="inlineStr">
        <is>
          <t>GY Shift</t>
        </is>
      </c>
      <c r="E30" t="n">
        <v>2</v>
      </c>
      <c r="J30" t="inlineStr">
        <is>
          <t>migrated:Death Penalty Week 25 &amp; 26</t>
        </is>
      </c>
    </row>
    <row r="31">
      <c r="A31" t="inlineStr">
        <is>
          <t>2026-06-29</t>
        </is>
      </c>
      <c r="B31" t="inlineStr">
        <is>
          <t>Jonard</t>
        </is>
      </c>
      <c r="C31" t="inlineStr">
        <is>
          <t>Perez</t>
        </is>
      </c>
      <c r="D31" t="inlineStr">
        <is>
          <t>Morning Shift</t>
        </is>
      </c>
      <c r="E31" t="n">
        <v>2</v>
      </c>
      <c r="F31" t="inlineStr">
        <is>
          <t>Removed 2 hours in the sheet</t>
        </is>
      </c>
      <c r="J31" t="inlineStr">
        <is>
          <t>migrated:Death Penalty Week 27 &amp; 28</t>
        </is>
      </c>
    </row>
    <row r="32">
      <c r="A32" t="inlineStr">
        <is>
          <t>2026-06-30</t>
        </is>
      </c>
      <c r="B32" t="inlineStr">
        <is>
          <t>David Ayag</t>
        </is>
      </c>
      <c r="C32" t="inlineStr">
        <is>
          <t>Perez</t>
        </is>
      </c>
      <c r="D32" t="inlineStr">
        <is>
          <t>Mid Shift</t>
        </is>
      </c>
      <c r="E32" t="n">
        <v>2</v>
      </c>
      <c r="F32" t="inlineStr">
        <is>
          <t>Removed 2 hours in the sheet (orig date: 2026-06030)</t>
        </is>
      </c>
      <c r="J32" t="inlineStr">
        <is>
          <t>migrated:Death Penalty Week 27 &amp; 28</t>
        </is>
      </c>
    </row>
    <row r="33">
      <c r="A33" t="inlineStr">
        <is>
          <t>2026-06-30</t>
        </is>
      </c>
      <c r="B33" t="inlineStr">
        <is>
          <t>Marlon</t>
        </is>
      </c>
      <c r="C33" t="inlineStr">
        <is>
          <t>Zombie</t>
        </is>
      </c>
      <c r="D33" t="inlineStr">
        <is>
          <t>Morning Shift</t>
        </is>
      </c>
      <c r="E33" t="n">
        <v>2</v>
      </c>
      <c r="F33" t="inlineStr">
        <is>
          <t>Removed 2 hours in the sheet</t>
        </is>
      </c>
      <c r="J33" t="inlineStr">
        <is>
          <t>migrated:Death Penalty Week 27 &amp; 28</t>
        </is>
      </c>
    </row>
    <row r="34">
      <c r="A34" t="inlineStr">
        <is>
          <t>2026-06-30</t>
        </is>
      </c>
      <c r="B34" t="inlineStr">
        <is>
          <t>Samantha</t>
        </is>
      </c>
      <c r="C34" t="inlineStr">
        <is>
          <t>Perez</t>
        </is>
      </c>
      <c r="D34" t="inlineStr">
        <is>
          <t>Morning Shift</t>
        </is>
      </c>
      <c r="E34" t="n">
        <v>2</v>
      </c>
      <c r="F34" t="inlineStr">
        <is>
          <t>Removed 2 hours in the sheet</t>
        </is>
      </c>
      <c r="J34" t="inlineStr">
        <is>
          <t>migrated:Death Penalty Week 27 &amp; 28</t>
        </is>
      </c>
    </row>
    <row r="35">
      <c r="A35" t="inlineStr">
        <is>
          <t>2026-07-02</t>
        </is>
      </c>
      <c r="B35" t="inlineStr">
        <is>
          <t>Jay Penilla</t>
        </is>
      </c>
      <c r="C35" t="inlineStr">
        <is>
          <t>Sarim</t>
        </is>
      </c>
      <c r="D35" t="inlineStr">
        <is>
          <t>Mid Shift</t>
        </is>
      </c>
      <c r="E35" t="n">
        <v>1</v>
      </c>
      <c r="F35" t="inlineStr">
        <is>
          <t>Removed 1 hours in the sheet</t>
        </is>
      </c>
      <c r="J35" t="inlineStr">
        <is>
          <t>migrated:Death Penalty Week 27 &amp; 28</t>
        </is>
      </c>
    </row>
    <row r="36">
      <c r="A36" t="inlineStr">
        <is>
          <t>2026-07-02</t>
        </is>
      </c>
      <c r="B36" t="inlineStr">
        <is>
          <t>Lemark</t>
        </is>
      </c>
      <c r="C36" t="inlineStr">
        <is>
          <t>Gob</t>
        </is>
      </c>
      <c r="D36" t="inlineStr">
        <is>
          <t>Mid Shift</t>
        </is>
      </c>
      <c r="E36" t="n">
        <v>2</v>
      </c>
      <c r="F36" t="inlineStr">
        <is>
          <t>Removed 2 hours in the sheet</t>
        </is>
      </c>
      <c r="J36" t="inlineStr">
        <is>
          <t>migrated:Death Penalty Week 27 &amp; 28</t>
        </is>
      </c>
    </row>
    <row r="37">
      <c r="A37" t="inlineStr">
        <is>
          <t>2026-07-04</t>
        </is>
      </c>
      <c r="B37" t="inlineStr">
        <is>
          <t>Roderick</t>
        </is>
      </c>
      <c r="C37" t="inlineStr">
        <is>
          <t>Typhoon</t>
        </is>
      </c>
      <c r="D37" t="inlineStr">
        <is>
          <t>GY-Shift</t>
        </is>
      </c>
      <c r="E37" t="n">
        <v>2</v>
      </c>
      <c r="F37" t="inlineStr">
        <is>
          <t>Removed 2 hours in the sheet</t>
        </is>
      </c>
      <c r="J37" t="inlineStr">
        <is>
          <t>migrated:Death Penalty Week 27 &amp; 28</t>
        </is>
      </c>
    </row>
    <row r="38">
      <c r="A38" t="inlineStr">
        <is>
          <t>2026-07-05</t>
        </is>
      </c>
      <c r="B38" t="inlineStr">
        <is>
          <t>Monteza</t>
        </is>
      </c>
      <c r="C38" t="inlineStr">
        <is>
          <t>Jejo</t>
        </is>
      </c>
      <c r="D38" t="inlineStr">
        <is>
          <t>GY-Shift</t>
        </is>
      </c>
      <c r="E38" t="n">
        <v>2</v>
      </c>
      <c r="F38" t="inlineStr">
        <is>
          <t>Removed 2 hours in the sheet</t>
        </is>
      </c>
      <c r="J38" t="inlineStr">
        <is>
          <t>migrated:Death Penalty Week 27 &amp; 28</t>
        </is>
      </c>
    </row>
    <row r="39">
      <c r="A39" t="inlineStr">
        <is>
          <t>2026-07-06</t>
        </is>
      </c>
      <c r="B39" t="inlineStr">
        <is>
          <t>Mark Angelo</t>
        </is>
      </c>
      <c r="C39" t="inlineStr">
        <is>
          <t>Heon</t>
        </is>
      </c>
      <c r="D39" t="inlineStr">
        <is>
          <t>Morning Shift</t>
        </is>
      </c>
      <c r="E39" t="n">
        <v>1</v>
      </c>
      <c r="F39" t="inlineStr">
        <is>
          <t>Worked 1 Hour for penalty!~</t>
        </is>
      </c>
      <c r="J39" t="inlineStr">
        <is>
          <t>migrated:Death Penalty Week 27 &amp; 28</t>
        </is>
      </c>
    </row>
    <row r="40">
      <c r="A40" t="inlineStr">
        <is>
          <t>2026-07-06</t>
        </is>
      </c>
      <c r="B40" t="inlineStr">
        <is>
          <t>Monteza</t>
        </is>
      </c>
      <c r="C40" t="inlineStr">
        <is>
          <t>Jejo</t>
        </is>
      </c>
      <c r="D40" t="inlineStr">
        <is>
          <t>GY-Shift</t>
        </is>
      </c>
      <c r="E40" t="n">
        <v>2</v>
      </c>
      <c r="F40" t="inlineStr">
        <is>
          <t>Done with 2 hour extra work, already did not add to the time sheet</t>
        </is>
      </c>
      <c r="J40" t="inlineStr">
        <is>
          <t>migrated:Death Penalty Week 27 &amp; 28</t>
        </is>
      </c>
    </row>
    <row r="41">
      <c r="A41" t="inlineStr">
        <is>
          <t>2026-07-06</t>
        </is>
      </c>
      <c r="B41" t="inlineStr">
        <is>
          <t>Nikko</t>
        </is>
      </c>
      <c r="C41" t="inlineStr">
        <is>
          <t>Zombie</t>
        </is>
      </c>
      <c r="D41" t="inlineStr">
        <is>
          <t>Morning Shift</t>
        </is>
      </c>
      <c r="E41" t="n">
        <v>2</v>
      </c>
      <c r="F41" t="inlineStr">
        <is>
          <t>Removed 2 hours in the sheet</t>
        </is>
      </c>
      <c r="J41" t="inlineStr">
        <is>
          <t>migrated:Death Penalty Week 27 &amp; 28</t>
        </is>
      </c>
    </row>
    <row r="42">
      <c r="A42" t="inlineStr">
        <is>
          <t>2026-07-07</t>
        </is>
      </c>
      <c r="B42" t="inlineStr">
        <is>
          <t>Marlon</t>
        </is>
      </c>
      <c r="C42" t="inlineStr">
        <is>
          <t>Zombie</t>
        </is>
      </c>
      <c r="D42" t="inlineStr">
        <is>
          <t>Morning Shift</t>
        </is>
      </c>
      <c r="E42" t="n">
        <v>2</v>
      </c>
      <c r="F42" t="inlineStr">
        <is>
          <t>Removed 2 hours in the sheet</t>
        </is>
      </c>
      <c r="J42" t="inlineStr">
        <is>
          <t>migrated:Death Penalty Week 27 &amp; 28</t>
        </is>
      </c>
    </row>
    <row r="43">
      <c r="A43" t="inlineStr">
        <is>
          <t>2026-07-07</t>
        </is>
      </c>
      <c r="B43" t="inlineStr">
        <is>
          <t>Marlon</t>
        </is>
      </c>
      <c r="C43" t="inlineStr">
        <is>
          <t>Zombie</t>
        </is>
      </c>
      <c r="D43" t="inlineStr">
        <is>
          <t>Morning Shift</t>
        </is>
      </c>
      <c r="E43" t="n">
        <v>2</v>
      </c>
      <c r="F43" t="inlineStr">
        <is>
          <t>Worked 2 Hour for penalty!~</t>
        </is>
      </c>
      <c r="J43" t="inlineStr">
        <is>
          <t>migrated:Death Penalty Week 27 &amp; 28</t>
        </is>
      </c>
    </row>
    <row r="44">
      <c r="A44" t="inlineStr">
        <is>
          <t>2026-07-08</t>
        </is>
      </c>
      <c r="B44" t="inlineStr">
        <is>
          <t>Cejay</t>
        </is>
      </c>
      <c r="C44" t="inlineStr">
        <is>
          <t>Ada</t>
        </is>
      </c>
      <c r="D44" t="inlineStr">
        <is>
          <t>Morning Shift</t>
        </is>
      </c>
      <c r="E44" t="n">
        <v>2</v>
      </c>
      <c r="F44" t="inlineStr">
        <is>
          <t>Removed 2 hours in the sheet</t>
        </is>
      </c>
      <c r="J44" t="inlineStr">
        <is>
          <t>migrated:Death Penalty Week 27 &amp; 28</t>
        </is>
      </c>
    </row>
    <row r="45">
      <c r="A45" t="inlineStr">
        <is>
          <t>2026-07-08</t>
        </is>
      </c>
      <c r="B45" t="inlineStr">
        <is>
          <t>Marlon</t>
        </is>
      </c>
      <c r="C45" t="inlineStr">
        <is>
          <t>Zombie</t>
        </is>
      </c>
      <c r="D45" t="inlineStr">
        <is>
          <t>Morning Shift</t>
        </is>
      </c>
      <c r="E45" t="n">
        <v>2</v>
      </c>
      <c r="F45" t="inlineStr">
        <is>
          <t>Removed 2 hours in the sheet</t>
        </is>
      </c>
      <c r="J45" t="inlineStr">
        <is>
          <t>migrated:Death Penalty Week 27 &amp; 28</t>
        </is>
      </c>
    </row>
    <row r="46">
      <c r="A46" t="inlineStr">
        <is>
          <t>2026-07-09</t>
        </is>
      </c>
      <c r="B46" t="inlineStr">
        <is>
          <t>Marlon</t>
        </is>
      </c>
      <c r="C46" t="inlineStr">
        <is>
          <t>Zombie</t>
        </is>
      </c>
      <c r="D46" t="inlineStr">
        <is>
          <t>Morning Shift</t>
        </is>
      </c>
      <c r="E46" t="n">
        <v>2</v>
      </c>
      <c r="F46" t="inlineStr">
        <is>
          <t>Removed 2 hours in the sheet</t>
        </is>
      </c>
      <c r="J46" t="inlineStr">
        <is>
          <t>migrated:Death Penalty Week 27 &amp; 28</t>
        </is>
      </c>
    </row>
    <row r="47">
      <c r="A47" t="inlineStr">
        <is>
          <t>2026-07-10</t>
        </is>
      </c>
      <c r="B47" t="inlineStr">
        <is>
          <t>Samantha</t>
        </is>
      </c>
      <c r="C47" t="inlineStr">
        <is>
          <t>Perez</t>
        </is>
      </c>
      <c r="D47" t="inlineStr">
        <is>
          <t>Morning Shift</t>
        </is>
      </c>
      <c r="E47" t="n">
        <v>2</v>
      </c>
      <c r="F47" t="inlineStr">
        <is>
          <t>Removed 2 hours in the sheet</t>
        </is>
      </c>
      <c r="J47" t="inlineStr">
        <is>
          <t>migrated:Death Penalty Week 27 &amp; 28</t>
        </is>
      </c>
    </row>
    <row r="48">
      <c r="A48" t="inlineStr">
        <is>
          <t>2026-07-11</t>
        </is>
      </c>
      <c r="B48" t="inlineStr">
        <is>
          <t>Cejay</t>
        </is>
      </c>
      <c r="C48" t="inlineStr">
        <is>
          <t>Ada</t>
        </is>
      </c>
      <c r="D48" t="inlineStr">
        <is>
          <t>Morning Shift</t>
        </is>
      </c>
      <c r="E48" t="n">
        <v>2</v>
      </c>
      <c r="F48" t="inlineStr">
        <is>
          <t>Removed 2 hours in the sheet</t>
        </is>
      </c>
      <c r="J48" t="inlineStr">
        <is>
          <t>migrated:Death Penalty Week 27 &amp; 28</t>
        </is>
      </c>
    </row>
    <row r="49">
      <c r="A49" t="inlineStr">
        <is>
          <t>2026-07-11</t>
        </is>
      </c>
      <c r="B49" t="inlineStr">
        <is>
          <t>Christopher</t>
        </is>
      </c>
      <c r="C49" t="inlineStr">
        <is>
          <t>Catleya</t>
        </is>
      </c>
      <c r="D49" t="inlineStr">
        <is>
          <t>Morning Shift</t>
        </is>
      </c>
      <c r="E49" t="n">
        <v>2</v>
      </c>
      <c r="F49" t="inlineStr">
        <is>
          <t>Removed 2 hours in the sheet</t>
        </is>
      </c>
      <c r="J49" t="inlineStr">
        <is>
          <t>migrated:Death Penalty Week 27 &amp; 28</t>
        </is>
      </c>
    </row>
    <row r="50">
      <c r="A50" t="inlineStr">
        <is>
          <t>2026-07-15</t>
        </is>
      </c>
      <c r="B50" t="inlineStr">
        <is>
          <t>Benjamin</t>
        </is>
      </c>
      <c r="C50" t="inlineStr">
        <is>
          <t>yeoseo-elf</t>
        </is>
      </c>
      <c r="D50" t="inlineStr">
        <is>
          <t>Morning Shift</t>
        </is>
      </c>
      <c r="E50" t="n">
        <v>2</v>
      </c>
      <c r="F50" t="inlineStr">
        <is>
          <t>Removed 2 hours in the sheet</t>
        </is>
      </c>
      <c r="J50" t="inlineStr">
        <is>
          <t>migrated:Death Penalty Week 29 &amp; 30</t>
        </is>
      </c>
    </row>
    <row r="51">
      <c r="A51" t="inlineStr">
        <is>
          <t>2026-07-16</t>
        </is>
      </c>
      <c r="B51" t="inlineStr">
        <is>
          <t>Christelle</t>
        </is>
      </c>
      <c r="C51" t="inlineStr">
        <is>
          <t>yeoseo-elf</t>
        </is>
      </c>
      <c r="D51" t="inlineStr">
        <is>
          <t>Morning Shift</t>
        </is>
      </c>
      <c r="E51" t="n">
        <v>2</v>
      </c>
      <c r="F51" t="inlineStr">
        <is>
          <t>Removed 2 hours in the sheet</t>
        </is>
      </c>
      <c r="J51" t="inlineStr">
        <is>
          <t>migrated:Death Penalty Week 29 &amp; 30</t>
        </is>
      </c>
    </row>
    <row r="52">
      <c r="A52" t="inlineStr">
        <is>
          <t>2026-07-16</t>
        </is>
      </c>
      <c r="B52" t="inlineStr">
        <is>
          <t>Ginbert</t>
        </is>
      </c>
      <c r="C52" t="inlineStr">
        <is>
          <t>Catleya</t>
        </is>
      </c>
      <c r="D52" t="inlineStr">
        <is>
          <t>Morning Shift</t>
        </is>
      </c>
      <c r="E52" t="n">
        <v>2</v>
      </c>
      <c r="F52" t="inlineStr">
        <is>
          <t>Removed 2 hours in the sheet</t>
        </is>
      </c>
      <c r="J52" t="inlineStr">
        <is>
          <t>migrated:Death Penalty Week 29 &amp; 30</t>
        </is>
      </c>
    </row>
    <row r="53">
      <c r="A53" t="inlineStr">
        <is>
          <t>2026-07-16</t>
        </is>
      </c>
      <c r="B53" t="inlineStr">
        <is>
          <t>Leonido</t>
        </is>
      </c>
      <c r="C53" t="inlineStr">
        <is>
          <t>Alex</t>
        </is>
      </c>
      <c r="D53" t="inlineStr">
        <is>
          <t>Graveyard Shift</t>
        </is>
      </c>
      <c r="E53" t="n">
        <v>2</v>
      </c>
      <c r="F53" t="inlineStr">
        <is>
          <t>Removed 2 hours in the sheet</t>
        </is>
      </c>
      <c r="J53" t="inlineStr">
        <is>
          <t>migrated:Death Penalty Week 29 &amp; 30</t>
        </is>
      </c>
    </row>
    <row r="54">
      <c r="A54" t="inlineStr">
        <is>
          <t>2026-07-16</t>
        </is>
      </c>
      <c r="B54" t="inlineStr">
        <is>
          <t>Nikko</t>
        </is>
      </c>
      <c r="C54" t="inlineStr">
        <is>
          <t>Typhoon</t>
        </is>
      </c>
      <c r="D54" t="inlineStr">
        <is>
          <t>Morning Shift</t>
        </is>
      </c>
      <c r="E54" t="n">
        <v>2</v>
      </c>
      <c r="F54" t="inlineStr">
        <is>
          <t>Removed 2 hours in the sheet</t>
        </is>
      </c>
      <c r="J54" t="inlineStr">
        <is>
          <t>migrated:Death Penalty Week 29 &amp; 30</t>
        </is>
      </c>
    </row>
    <row r="55">
      <c r="A55" t="inlineStr">
        <is>
          <t>2026-07-16</t>
        </is>
      </c>
      <c r="B55" t="inlineStr">
        <is>
          <t>Nikko</t>
        </is>
      </c>
      <c r="C55" t="inlineStr">
        <is>
          <t>Typhoon</t>
        </is>
      </c>
      <c r="D55" t="inlineStr">
        <is>
          <t>Morning Shift</t>
        </is>
      </c>
      <c r="E55" t="n">
        <v>2</v>
      </c>
      <c r="F55" t="inlineStr">
        <is>
          <t>Removed 2 hours in the sheet</t>
        </is>
      </c>
      <c r="J55" t="inlineStr">
        <is>
          <t>migrated:Death Penalty Week 29 &amp; 30</t>
        </is>
      </c>
    </row>
    <row r="56">
      <c r="A56" t="inlineStr">
        <is>
          <t>2026-07-16</t>
        </is>
      </c>
      <c r="B56" t="inlineStr">
        <is>
          <t>Reno</t>
        </is>
      </c>
      <c r="C56" t="inlineStr">
        <is>
          <t>Lord - Prince</t>
        </is>
      </c>
      <c r="D56" t="inlineStr">
        <is>
          <t>Morning Shift</t>
        </is>
      </c>
      <c r="E56" t="n">
        <v>2</v>
      </c>
      <c r="F56" t="inlineStr">
        <is>
          <t>Removed 2 hours in the sheet</t>
        </is>
      </c>
      <c r="J56" t="inlineStr">
        <is>
          <t>migrated:Death Penalty Week 29 &amp; 30</t>
        </is>
      </c>
    </row>
    <row r="57">
      <c r="A57" t="inlineStr">
        <is>
          <t>2026-07-16</t>
        </is>
      </c>
      <c r="B57" t="inlineStr">
        <is>
          <t>Richard Salupari</t>
        </is>
      </c>
      <c r="C57" t="inlineStr">
        <is>
          <t>Jejo</t>
        </is>
      </c>
      <c r="D57" t="inlineStr">
        <is>
          <t>Graveyard Shift</t>
        </is>
      </c>
      <c r="E57" t="n">
        <v>2</v>
      </c>
      <c r="F57" t="inlineStr">
        <is>
          <t>Removed 2 hours in the sheet</t>
        </is>
      </c>
      <c r="J57" t="inlineStr">
        <is>
          <t>migrated:Death Penalty Week 29 &amp; 30</t>
        </is>
      </c>
    </row>
    <row r="58">
      <c r="A58" t="inlineStr">
        <is>
          <t>2026-07-16</t>
        </is>
      </c>
      <c r="B58" t="inlineStr">
        <is>
          <t>Zenron</t>
        </is>
      </c>
      <c r="C58" t="inlineStr">
        <is>
          <t>Angel</t>
        </is>
      </c>
      <c r="D58" t="inlineStr">
        <is>
          <t>Graveyard Shift</t>
        </is>
      </c>
      <c r="E58" t="n">
        <v>2</v>
      </c>
      <c r="F58" t="inlineStr">
        <is>
          <t>Removed 2 hours in the sheet</t>
        </is>
      </c>
      <c r="J58" t="inlineStr">
        <is>
          <t>migrated:Death Penalty Week 29 &amp; 30</t>
        </is>
      </c>
    </row>
    <row r="59">
      <c r="A59" t="inlineStr">
        <is>
          <t>2026-07-17</t>
        </is>
      </c>
      <c r="B59" t="inlineStr">
        <is>
          <t>Benjamin</t>
        </is>
      </c>
      <c r="C59" t="inlineStr">
        <is>
          <t>Goop</t>
        </is>
      </c>
      <c r="D59" t="inlineStr">
        <is>
          <t>Morning Shift</t>
        </is>
      </c>
      <c r="E59" t="n">
        <v>2</v>
      </c>
      <c r="F59" t="inlineStr">
        <is>
          <t>Removed 2 hours in the sheet</t>
        </is>
      </c>
      <c r="J59" t="inlineStr">
        <is>
          <t>migrated:Death Penalty Week 29 &amp; 30</t>
        </is>
      </c>
    </row>
    <row r="60">
      <c r="A60" t="inlineStr">
        <is>
          <t>2026-07-17</t>
        </is>
      </c>
      <c r="B60" t="inlineStr">
        <is>
          <t>Christelle</t>
        </is>
      </c>
      <c r="C60" t="inlineStr">
        <is>
          <t>yeoseo-elf</t>
        </is>
      </c>
      <c r="D60" t="inlineStr">
        <is>
          <t>Morning Shift</t>
        </is>
      </c>
      <c r="E60" t="n">
        <v>2</v>
      </c>
      <c r="F60" t="inlineStr">
        <is>
          <t>Removed 2 hours in the sheet</t>
        </is>
      </c>
      <c r="J60" t="inlineStr">
        <is>
          <t>migrated:Death Penalty Week 29 &amp; 30</t>
        </is>
      </c>
    </row>
    <row r="61">
      <c r="A61" t="inlineStr">
        <is>
          <t>2026-07-17</t>
        </is>
      </c>
      <c r="B61" t="inlineStr">
        <is>
          <t>Christopher</t>
        </is>
      </c>
      <c r="C61" t="inlineStr">
        <is>
          <t>Catleya</t>
        </is>
      </c>
      <c r="D61" t="inlineStr">
        <is>
          <t>Morning Shift</t>
        </is>
      </c>
      <c r="E61" t="n">
        <v>2</v>
      </c>
      <c r="F61" t="inlineStr">
        <is>
          <t>Removed 2 hours in the sheet</t>
        </is>
      </c>
      <c r="J61" t="inlineStr">
        <is>
          <t>migrated:Death Penalty Week 29 &amp; 30</t>
        </is>
      </c>
    </row>
    <row r="62">
      <c r="A62" t="inlineStr">
        <is>
          <t>2026-07-17</t>
        </is>
      </c>
      <c r="B62" t="inlineStr">
        <is>
          <t>Jeffrey</t>
        </is>
      </c>
      <c r="C62" t="inlineStr">
        <is>
          <t>Typhoon</t>
        </is>
      </c>
      <c r="D62" t="inlineStr">
        <is>
          <t>Graveyard Shift</t>
        </is>
      </c>
      <c r="E62" t="n">
        <v>2</v>
      </c>
      <c r="F62" t="inlineStr">
        <is>
          <t>Removed 2 hours in the sheet</t>
        </is>
      </c>
      <c r="J62" t="inlineStr">
        <is>
          <t>migrated:Death Penalty Week 29 &amp; 30</t>
        </is>
      </c>
    </row>
    <row r="63">
      <c r="A63" t="inlineStr">
        <is>
          <t>2026-07-17</t>
        </is>
      </c>
      <c r="B63" t="inlineStr">
        <is>
          <t>Kim Carl</t>
        </is>
      </c>
      <c r="C63" t="inlineStr">
        <is>
          <t>Sea</t>
        </is>
      </c>
      <c r="D63" t="inlineStr">
        <is>
          <t>Morning Shift</t>
        </is>
      </c>
      <c r="E63" t="n">
        <v>2</v>
      </c>
      <c r="F63" t="inlineStr">
        <is>
          <t>Removed 2 hours in the sheet</t>
        </is>
      </c>
      <c r="J63" t="inlineStr">
        <is>
          <t>migrated:Death Penalty Week 29 &amp; 30</t>
        </is>
      </c>
    </row>
    <row r="64">
      <c r="A64" t="inlineStr">
        <is>
          <t>2026-07-17</t>
        </is>
      </c>
      <c r="B64" t="inlineStr">
        <is>
          <t>Kim Carl</t>
        </is>
      </c>
      <c r="C64" t="inlineStr">
        <is>
          <t>Sea</t>
        </is>
      </c>
      <c r="D64" t="inlineStr">
        <is>
          <t>Morning Shift</t>
        </is>
      </c>
      <c r="E64" t="n">
        <v>2</v>
      </c>
      <c r="F64" t="inlineStr">
        <is>
          <t>Removed 2 hours in the sheet</t>
        </is>
      </c>
      <c r="J64" t="inlineStr">
        <is>
          <t>migrated:Death Penalty Week 29 &amp; 30</t>
        </is>
      </c>
    </row>
    <row r="65">
      <c r="A65" t="inlineStr">
        <is>
          <t>2026-07-17</t>
        </is>
      </c>
      <c r="B65" t="inlineStr">
        <is>
          <t>Mark Angelo</t>
        </is>
      </c>
      <c r="C65" t="inlineStr">
        <is>
          <t>Heon</t>
        </is>
      </c>
      <c r="D65" t="inlineStr">
        <is>
          <t>Morning Shift</t>
        </is>
      </c>
      <c r="E65" t="n">
        <v>2</v>
      </c>
      <c r="F65" t="inlineStr">
        <is>
          <t>Removed 2 hours in the sheet</t>
        </is>
      </c>
      <c r="J65" t="inlineStr">
        <is>
          <t>migrated:Death Penalty Week 29 &amp; 30</t>
        </is>
      </c>
    </row>
    <row r="66">
      <c r="A66" t="inlineStr">
        <is>
          <t>2026-07-17</t>
        </is>
      </c>
      <c r="B66" t="inlineStr">
        <is>
          <t>Rhuzsel</t>
        </is>
      </c>
      <c r="C66" t="inlineStr">
        <is>
          <t>Sea</t>
        </is>
      </c>
      <c r="D66" t="inlineStr">
        <is>
          <t>Graveyard Shift</t>
        </is>
      </c>
      <c r="E66" t="n">
        <v>2</v>
      </c>
      <c r="F66" t="inlineStr">
        <is>
          <t>Removed 2 hours in the sheet</t>
        </is>
      </c>
      <c r="J66" t="inlineStr">
        <is>
          <t>migrated:Death Penalty Week 29 &amp; 30</t>
        </is>
      </c>
    </row>
    <row r="67">
      <c r="A67" t="inlineStr">
        <is>
          <t>2026-07-17</t>
        </is>
      </c>
      <c r="B67" t="inlineStr">
        <is>
          <t>Samantha</t>
        </is>
      </c>
      <c r="C67" t="inlineStr">
        <is>
          <t>Perez</t>
        </is>
      </c>
      <c r="D67" t="inlineStr">
        <is>
          <t>Morning Shift</t>
        </is>
      </c>
      <c r="E67" t="n">
        <v>2</v>
      </c>
      <c r="F67" t="inlineStr">
        <is>
          <t>Removed 2 hours in the sheet</t>
        </is>
      </c>
      <c r="J67" t="inlineStr">
        <is>
          <t>migrated:Death Penalty Week 29 &amp; 30</t>
        </is>
      </c>
    </row>
    <row r="68">
      <c r="A68" t="inlineStr">
        <is>
          <t>2026-07-18</t>
        </is>
      </c>
      <c r="B68" t="inlineStr">
        <is>
          <t>Christopher</t>
        </is>
      </c>
      <c r="C68" t="inlineStr">
        <is>
          <t>Goop</t>
        </is>
      </c>
      <c r="D68" t="inlineStr">
        <is>
          <t>Morning Shift</t>
        </is>
      </c>
      <c r="E68" t="n">
        <v>2</v>
      </c>
      <c r="F68" t="inlineStr">
        <is>
          <t>Removed 2 hours in the sheet</t>
        </is>
      </c>
      <c r="J68" t="inlineStr">
        <is>
          <t>migrated:Death Penalty Week 29 &amp; 30</t>
        </is>
      </c>
    </row>
    <row r="69">
      <c r="A69" t="inlineStr">
        <is>
          <t>2026-07-18</t>
        </is>
      </c>
      <c r="B69" t="inlineStr">
        <is>
          <t>Danica Bautista</t>
        </is>
      </c>
      <c r="C69" t="inlineStr">
        <is>
          <t>Jejo</t>
        </is>
      </c>
      <c r="D69" t="inlineStr">
        <is>
          <t>GY Shift</t>
        </is>
      </c>
      <c r="E69" t="n">
        <v>2</v>
      </c>
      <c r="F69" t="inlineStr">
        <is>
          <t>Removed 2 hours in the sheet</t>
        </is>
      </c>
      <c r="J69" t="inlineStr">
        <is>
          <t>migrated:Death Penalty Week 29 &amp; 30</t>
        </is>
      </c>
    </row>
    <row r="70">
      <c r="A70" t="inlineStr">
        <is>
          <t>2026-07-18</t>
        </is>
      </c>
      <c r="B70" t="inlineStr">
        <is>
          <t>Jonard</t>
        </is>
      </c>
      <c r="C70" t="inlineStr">
        <is>
          <t>Typhoon</t>
        </is>
      </c>
      <c r="D70" t="inlineStr">
        <is>
          <t>Morning Shift</t>
        </is>
      </c>
      <c r="E70" t="n">
        <v>2</v>
      </c>
      <c r="F70" t="inlineStr">
        <is>
          <t>Removed 2 hours in the sheet</t>
        </is>
      </c>
      <c r="J70" t="inlineStr">
        <is>
          <t>migrated:Death Penalty Week 29 &amp; 30</t>
        </is>
      </c>
    </row>
    <row r="71">
      <c r="A71" t="inlineStr">
        <is>
          <t>2026-07-19</t>
        </is>
      </c>
      <c r="B71" t="inlineStr">
        <is>
          <t>Cedric</t>
        </is>
      </c>
      <c r="C71" t="inlineStr">
        <is>
          <t>Typhoon</t>
        </is>
      </c>
      <c r="D71" t="inlineStr">
        <is>
          <t>Morning Shift</t>
        </is>
      </c>
      <c r="E71" t="n">
        <v>2</v>
      </c>
      <c r="F71" t="inlineStr">
        <is>
          <t>Removed 2 hours in the sheet</t>
        </is>
      </c>
      <c r="J71" t="inlineStr">
        <is>
          <t>migrated:Death Penalty Week 29 &amp; 30</t>
        </is>
      </c>
    </row>
    <row r="72">
      <c r="A72" t="inlineStr">
        <is>
          <t>2026-07-19</t>
        </is>
      </c>
      <c r="B72" t="inlineStr">
        <is>
          <t>Jeffrey</t>
        </is>
      </c>
      <c r="C72" t="inlineStr">
        <is>
          <t>Typhoon</t>
        </is>
      </c>
      <c r="D72" t="inlineStr">
        <is>
          <t>GY Shift</t>
        </is>
      </c>
      <c r="E72" t="n">
        <v>2</v>
      </c>
      <c r="F72" t="inlineStr">
        <is>
          <t>Removed 2 hours in the sheet</t>
        </is>
      </c>
      <c r="J72" t="inlineStr">
        <is>
          <t>migrated:Death Penalty Week 29 &amp; 30</t>
        </is>
      </c>
    </row>
    <row r="73">
      <c r="A73" t="inlineStr">
        <is>
          <t>2026-07-19</t>
        </is>
      </c>
      <c r="B73" t="inlineStr">
        <is>
          <t>Lourence</t>
        </is>
      </c>
      <c r="C73" t="inlineStr">
        <is>
          <t>Kyoryu</t>
        </is>
      </c>
      <c r="D73" t="inlineStr">
        <is>
          <t>GY Shift</t>
        </is>
      </c>
      <c r="E73" t="n">
        <v>1</v>
      </c>
      <c r="F73" t="inlineStr">
        <is>
          <t>Removed 2 hours in the sheet</t>
        </is>
      </c>
      <c r="J73" t="inlineStr">
        <is>
          <t>migrated:Death Penalty Week 29 &amp; 30</t>
        </is>
      </c>
    </row>
    <row r="74">
      <c r="A74" t="inlineStr">
        <is>
          <t>2026-07-19</t>
        </is>
      </c>
      <c r="B74" t="inlineStr">
        <is>
          <t>Mark Valdez</t>
        </is>
      </c>
      <c r="C74" t="inlineStr">
        <is>
          <t>Road</t>
        </is>
      </c>
      <c r="D74" t="inlineStr">
        <is>
          <t>GY Shift</t>
        </is>
      </c>
      <c r="E74" t="n">
        <v>2</v>
      </c>
      <c r="F74" t="inlineStr">
        <is>
          <t>Removed 2 hours in the sheet</t>
        </is>
      </c>
      <c r="J74" t="inlineStr">
        <is>
          <t>migrated:Death Penalty Week 29 &amp; 30</t>
        </is>
      </c>
    </row>
    <row r="75">
      <c r="A75" t="inlineStr">
        <is>
          <t>2026-07-19</t>
        </is>
      </c>
      <c r="B75" t="inlineStr">
        <is>
          <t>Nikko</t>
        </is>
      </c>
      <c r="C75" t="inlineStr">
        <is>
          <t>Catleya</t>
        </is>
      </c>
      <c r="D75" t="inlineStr">
        <is>
          <t>Morning Shift</t>
        </is>
      </c>
      <c r="E75" t="n">
        <v>2</v>
      </c>
      <c r="F75" t="inlineStr">
        <is>
          <t>Removed 2 hours in the sheet</t>
        </is>
      </c>
      <c r="J75" t="inlineStr">
        <is>
          <t>migrated:Death Penalty Week 29 &amp; 30</t>
        </is>
      </c>
    </row>
    <row r="76">
      <c r="A76" t="inlineStr">
        <is>
          <t>2026-07-19</t>
        </is>
      </c>
      <c r="B76" t="inlineStr">
        <is>
          <t>zenron</t>
        </is>
      </c>
      <c r="C76" t="inlineStr">
        <is>
          <t>Angel</t>
        </is>
      </c>
      <c r="D76" t="inlineStr">
        <is>
          <t>GY Shift</t>
        </is>
      </c>
      <c r="E76" t="n">
        <v>2</v>
      </c>
      <c r="F76" t="inlineStr">
        <is>
          <t>Removed 2 hours in the sheet</t>
        </is>
      </c>
      <c r="J76" t="inlineStr">
        <is>
          <t>migrated:Death Penalty Week 29 &amp; 30</t>
        </is>
      </c>
    </row>
    <row r="77">
      <c r="A77" t="inlineStr">
        <is>
          <t>2026-07-20</t>
        </is>
      </c>
      <c r="B77" t="inlineStr">
        <is>
          <t>Ginbert</t>
        </is>
      </c>
      <c r="C77" t="inlineStr">
        <is>
          <t>Catleya</t>
        </is>
      </c>
      <c r="D77" t="inlineStr">
        <is>
          <t>Morning Shift</t>
        </is>
      </c>
      <c r="E77" t="n">
        <v>2</v>
      </c>
      <c r="F77" t="inlineStr">
        <is>
          <t>Removed 2 hours in the sheet</t>
        </is>
      </c>
      <c r="J77" t="inlineStr">
        <is>
          <t>migrated:Death Penalty Week 29 &amp; 30</t>
        </is>
      </c>
    </row>
    <row r="78">
      <c r="A78" t="inlineStr">
        <is>
          <t>2026-07-21</t>
        </is>
      </c>
      <c r="B78" t="inlineStr">
        <is>
          <t>Ginbert</t>
        </is>
      </c>
      <c r="C78" t="inlineStr">
        <is>
          <t>Catleya</t>
        </is>
      </c>
      <c r="D78" t="inlineStr">
        <is>
          <t>Morning Shift</t>
        </is>
      </c>
      <c r="E78" t="n">
        <v>2</v>
      </c>
      <c r="F78" t="inlineStr">
        <is>
          <t>Removed 2 hours in the sheet</t>
        </is>
      </c>
      <c r="J78" t="inlineStr">
        <is>
          <t>migrated:Death Penalty Week 29 &amp; 30</t>
        </is>
      </c>
    </row>
    <row r="79">
      <c r="A79" t="inlineStr">
        <is>
          <t>2026-07-21</t>
        </is>
      </c>
      <c r="B79" t="inlineStr">
        <is>
          <t>Ginbert</t>
        </is>
      </c>
      <c r="C79" t="inlineStr">
        <is>
          <t>Catleya</t>
        </is>
      </c>
      <c r="D79" t="inlineStr">
        <is>
          <t>Morning Shift</t>
        </is>
      </c>
      <c r="E79" t="n">
        <v>2</v>
      </c>
      <c r="F79" t="inlineStr">
        <is>
          <t>Removed 2 hours in the sheet</t>
        </is>
      </c>
      <c r="J79" t="inlineStr">
        <is>
          <t>migrated:Death Penalty Week 29 &amp; 30</t>
        </is>
      </c>
    </row>
    <row r="80">
      <c r="A80" t="inlineStr">
        <is>
          <t>2026-07-22</t>
        </is>
      </c>
      <c r="B80" t="inlineStr">
        <is>
          <t>Jeffrey</t>
        </is>
      </c>
      <c r="C80" t="inlineStr">
        <is>
          <t>Typhoon</t>
        </is>
      </c>
      <c r="D80" t="inlineStr">
        <is>
          <t>GY Shift</t>
        </is>
      </c>
      <c r="E80" t="n">
        <v>2</v>
      </c>
      <c r="F80" t="inlineStr">
        <is>
          <t>Removed 2 hours in the sheet</t>
        </is>
      </c>
      <c r="J80" t="inlineStr">
        <is>
          <t>migrated:Death Penalty Week 29 &amp; 30</t>
        </is>
      </c>
    </row>
    <row r="81">
      <c r="A81" t="inlineStr">
        <is>
          <t>2026-07-22</t>
        </is>
      </c>
      <c r="B81" t="inlineStr">
        <is>
          <t>Jeffrey</t>
        </is>
      </c>
      <c r="C81" t="inlineStr">
        <is>
          <t>Typhoon</t>
        </is>
      </c>
      <c r="D81" t="inlineStr">
        <is>
          <t>GY Shift</t>
        </is>
      </c>
      <c r="E81" t="n">
        <v>2</v>
      </c>
      <c r="F81" t="inlineStr">
        <is>
          <t>Removed 2 hours in the sheet</t>
        </is>
      </c>
      <c r="J81" t="inlineStr">
        <is>
          <t>migrated:Death Penalty Week 29 &amp; 30</t>
        </is>
      </c>
    </row>
    <row r="82">
      <c r="A82" t="inlineStr">
        <is>
          <t>2026-08-13</t>
        </is>
      </c>
      <c r="B82" t="inlineStr">
        <is>
          <t>Marlon</t>
        </is>
      </c>
      <c r="C82" t="inlineStr">
        <is>
          <t>Zombie</t>
        </is>
      </c>
      <c r="D82" t="inlineStr">
        <is>
          <t>Morning Shift</t>
        </is>
      </c>
      <c r="E82" t="n">
        <v>2</v>
      </c>
      <c r="F82" t="inlineStr">
        <is>
          <t>Removed 2 hours in the sheet</t>
        </is>
      </c>
      <c r="J82" t="inlineStr">
        <is>
          <t>migrated:Death Penalty Week 33 &amp; 34</t>
        </is>
      </c>
    </row>
    <row r="83">
      <c r="A83" t="inlineStr">
        <is>
          <t>2026-08-13</t>
        </is>
      </c>
      <c r="B83" t="inlineStr">
        <is>
          <t>Patrick</t>
        </is>
      </c>
      <c r="C83" t="inlineStr">
        <is>
          <t>Catleya</t>
        </is>
      </c>
      <c r="D83" t="inlineStr">
        <is>
          <t>Morning Shift</t>
        </is>
      </c>
      <c r="E83" t="n">
        <v>2</v>
      </c>
      <c r="F83" t="inlineStr">
        <is>
          <t>Removed 2 hours in the sheet</t>
        </is>
      </c>
      <c r="J83" t="inlineStr">
        <is>
          <t>migrated:Death Penalty Week 33 &amp; 34</t>
        </is>
      </c>
    </row>
    <row r="84">
      <c r="A84" t="inlineStr">
        <is>
          <t>2026-08-14</t>
        </is>
      </c>
      <c r="B84" t="inlineStr">
        <is>
          <t>Christelle</t>
        </is>
      </c>
      <c r="C84" t="inlineStr">
        <is>
          <t>Alex</t>
        </is>
      </c>
      <c r="D84" t="inlineStr">
        <is>
          <t>Morning Shift</t>
        </is>
      </c>
      <c r="E84" t="n">
        <v>2</v>
      </c>
      <c r="F84" t="inlineStr">
        <is>
          <t>Removed 2 hours in the sheet</t>
        </is>
      </c>
      <c r="J84" t="inlineStr">
        <is>
          <t>migrated:Death Penalty Week 33 &amp; 34</t>
        </is>
      </c>
    </row>
    <row r="85">
      <c r="A85" t="inlineStr">
        <is>
          <t>2026-08-16</t>
        </is>
      </c>
      <c r="B85" t="inlineStr">
        <is>
          <t>Lourence</t>
        </is>
      </c>
      <c r="C85" t="inlineStr">
        <is>
          <t>Bang-Wizard</t>
        </is>
      </c>
      <c r="D85" t="inlineStr">
        <is>
          <t>GY-Shift</t>
        </is>
      </c>
      <c r="E85" t="n">
        <v>2</v>
      </c>
      <c r="F85" t="inlineStr">
        <is>
          <t>Done with 2 hour extra work, already did not add to the time sheet</t>
        </is>
      </c>
      <c r="J85" t="inlineStr">
        <is>
          <t>migrated:Death Penalty Week 33 &amp; 34</t>
        </is>
      </c>
    </row>
    <row r="86">
      <c r="A86" t="inlineStr">
        <is>
          <t>2026-08-16</t>
        </is>
      </c>
      <c r="B86" t="inlineStr">
        <is>
          <t>Raul</t>
        </is>
      </c>
      <c r="C86" t="inlineStr">
        <is>
          <t>Dal-o-Knight</t>
        </is>
      </c>
      <c r="D86" t="inlineStr">
        <is>
          <t>GY-Shift</t>
        </is>
      </c>
      <c r="E86" t="n">
        <v>2</v>
      </c>
      <c r="F86" t="inlineStr">
        <is>
          <t>Removed 2 hours in the sheet (orig date: 2026-22-16)</t>
        </is>
      </c>
      <c r="J86" t="inlineStr">
        <is>
          <t>migrated:Death Penalty Week 33 &amp; 34</t>
        </is>
      </c>
    </row>
    <row r="87">
      <c r="A87" t="inlineStr">
        <is>
          <t>2026-08-19</t>
        </is>
      </c>
      <c r="B87" t="inlineStr">
        <is>
          <t>Christelle</t>
        </is>
      </c>
      <c r="C87" t="inlineStr">
        <is>
          <t>Alex</t>
        </is>
      </c>
      <c r="D87" t="inlineStr">
        <is>
          <t>Morning Shift</t>
        </is>
      </c>
      <c r="E87" t="n">
        <v>2</v>
      </c>
      <c r="F87" t="inlineStr">
        <is>
          <t>Removed 2 hours in the sheet</t>
        </is>
      </c>
      <c r="J87" t="inlineStr">
        <is>
          <t>migrated:Death Penalty Week 33 &amp; 34</t>
        </is>
      </c>
    </row>
    <row r="88">
      <c r="A88" t="inlineStr">
        <is>
          <t>2026-08-20</t>
        </is>
      </c>
      <c r="B88" t="inlineStr">
        <is>
          <t>Isiah</t>
        </is>
      </c>
      <c r="C88" t="inlineStr">
        <is>
          <t>Power</t>
        </is>
      </c>
      <c r="D88" t="inlineStr">
        <is>
          <t>Morning Shift</t>
        </is>
      </c>
      <c r="E88" t="n">
        <v>2</v>
      </c>
      <c r="F88" t="inlineStr">
        <is>
          <t>Removed 2 hours in the sheet</t>
        </is>
      </c>
      <c r="J88" t="inlineStr">
        <is>
          <t>migrated:Death Penalty Week 33 &amp; 34</t>
        </is>
      </c>
    </row>
    <row r="89">
      <c r="A89" t="inlineStr">
        <is>
          <t>2026-08-20</t>
        </is>
      </c>
      <c r="B89" t="inlineStr">
        <is>
          <t>Reno</t>
        </is>
      </c>
      <c r="C89" t="inlineStr">
        <is>
          <t>Pele</t>
        </is>
      </c>
      <c r="D89" t="inlineStr">
        <is>
          <t>Morning Shift</t>
        </is>
      </c>
      <c r="E89" t="n">
        <v>2</v>
      </c>
      <c r="F89" t="inlineStr">
        <is>
          <t>Removed 2 hours in the sheet</t>
        </is>
      </c>
      <c r="J89" t="inlineStr">
        <is>
          <t>migrated:Death Penalty Week 33 &amp; 34</t>
        </is>
      </c>
    </row>
    <row r="90">
      <c r="A90" t="inlineStr">
        <is>
          <t>2026-08-31</t>
        </is>
      </c>
      <c r="B90" t="inlineStr">
        <is>
          <t>Raul</t>
        </is>
      </c>
      <c r="C90" t="inlineStr">
        <is>
          <t>Dal-o</t>
        </is>
      </c>
      <c r="D90" t="inlineStr">
        <is>
          <t>GY-Shift</t>
        </is>
      </c>
      <c r="E90" t="n">
        <v>2</v>
      </c>
      <c r="J90" t="inlineStr">
        <is>
          <t>migrated:Death Penalty Week 35 &amp; 36</t>
        </is>
      </c>
    </row>
    <row r="91">
      <c r="A91" t="inlineStr">
        <is>
          <t>2026-09-02</t>
        </is>
      </c>
      <c r="B91" t="inlineStr">
        <is>
          <t>Jay Penilla</t>
        </is>
      </c>
      <c r="C91" t="inlineStr">
        <is>
          <t>Realmadrid</t>
        </is>
      </c>
      <c r="D91" t="inlineStr">
        <is>
          <t>MID- Shift</t>
        </is>
      </c>
      <c r="E91" t="n">
        <v>2</v>
      </c>
      <c r="J91" t="inlineStr">
        <is>
          <t>migrated:Death Penalty Week 35 &amp; 36</t>
        </is>
      </c>
    </row>
    <row r="92">
      <c r="A92" t="inlineStr">
        <is>
          <t>2026-09-02</t>
        </is>
      </c>
      <c r="B92" t="inlineStr">
        <is>
          <t>Jay Penilla</t>
        </is>
      </c>
      <c r="C92" t="inlineStr">
        <is>
          <t>Realmadrid</t>
        </is>
      </c>
      <c r="D92" t="inlineStr">
        <is>
          <t>MID- Shift</t>
        </is>
      </c>
      <c r="E92" t="n">
        <v>2</v>
      </c>
      <c r="J92" t="inlineStr">
        <is>
          <t>migrated:Death Penalty Week 35 &amp; 36</t>
        </is>
      </c>
    </row>
    <row r="93">
      <c r="A93" t="inlineStr">
        <is>
          <t>2026-09-03</t>
        </is>
      </c>
      <c r="B93" t="inlineStr">
        <is>
          <t>Lemark</t>
        </is>
      </c>
      <c r="C93" t="inlineStr">
        <is>
          <t>Marcelo</t>
        </is>
      </c>
      <c r="D93" t="inlineStr">
        <is>
          <t>GY-Shift</t>
        </is>
      </c>
      <c r="E93" t="n">
        <v>1</v>
      </c>
      <c r="J93" t="inlineStr">
        <is>
          <t>migrated:Death Penalty Week 35 &amp; 36</t>
        </is>
      </c>
    </row>
    <row r="94">
      <c r="A94" t="inlineStr">
        <is>
          <t>2026-09-03</t>
        </is>
      </c>
      <c r="B94" t="inlineStr">
        <is>
          <t>Rhuzsel</t>
        </is>
      </c>
      <c r="C94" t="inlineStr">
        <is>
          <t>Lammy Queen</t>
        </is>
      </c>
      <c r="D94" t="inlineStr">
        <is>
          <t>GY-Shift</t>
        </is>
      </c>
      <c r="E94" t="n">
        <v>2</v>
      </c>
      <c r="J94" t="inlineStr">
        <is>
          <t>migrated:Death Penalty Week 35 &amp; 36</t>
        </is>
      </c>
    </row>
    <row r="95">
      <c r="A95" t="inlineStr">
        <is>
          <t>2026-09-04</t>
        </is>
      </c>
      <c r="B95" t="inlineStr">
        <is>
          <t>Ginbert</t>
        </is>
      </c>
      <c r="C95" t="inlineStr">
        <is>
          <t>Alex</t>
        </is>
      </c>
      <c r="D95" t="inlineStr">
        <is>
          <t>Morning - Shift</t>
        </is>
      </c>
      <c r="E95" t="n">
        <v>2</v>
      </c>
      <c r="J95" t="inlineStr">
        <is>
          <t>migrated:Death Penalty Week 35 &amp; 36</t>
        </is>
      </c>
    </row>
    <row r="96">
      <c r="A96" t="inlineStr">
        <is>
          <t>2026-09-06</t>
        </is>
      </c>
      <c r="B96" t="inlineStr">
        <is>
          <t>Paul</t>
        </is>
      </c>
      <c r="C96" t="inlineStr">
        <is>
          <t>Return</t>
        </is>
      </c>
      <c r="D96" t="inlineStr">
        <is>
          <t>GY-Shift</t>
        </is>
      </c>
      <c r="E96" t="n">
        <v>2</v>
      </c>
      <c r="J96" t="inlineStr">
        <is>
          <t>migrated:Death Penalty Week 35 &amp; 36</t>
        </is>
      </c>
    </row>
    <row r="97">
      <c r="A97" t="inlineStr">
        <is>
          <t>2026-09-06</t>
        </is>
      </c>
      <c r="B97" t="inlineStr">
        <is>
          <t>Rodel</t>
        </is>
      </c>
      <c r="C97" t="inlineStr">
        <is>
          <t>Pele</t>
        </is>
      </c>
      <c r="D97" t="inlineStr">
        <is>
          <t>GY-Shift</t>
        </is>
      </c>
      <c r="E97" t="n">
        <v>1</v>
      </c>
      <c r="J97" t="inlineStr">
        <is>
          <t>migrated:Death Penalty Week 35 &amp; 36</t>
        </is>
      </c>
    </row>
    <row r="98">
      <c r="A98" t="inlineStr">
        <is>
          <t>2026-09-08</t>
        </is>
      </c>
      <c r="B98" t="inlineStr">
        <is>
          <t>Christelle</t>
        </is>
      </c>
      <c r="C98" t="inlineStr">
        <is>
          <t>SSEN</t>
        </is>
      </c>
      <c r="D98" t="inlineStr">
        <is>
          <t>Morning Shift</t>
        </is>
      </c>
      <c r="E98" t="n">
        <v>2</v>
      </c>
      <c r="F98" t="inlineStr">
        <is>
          <t>Removed 2 hours</t>
        </is>
      </c>
      <c r="J98" t="inlineStr">
        <is>
          <t>migrated:Death Penalty Week 37 &amp; 38</t>
        </is>
      </c>
    </row>
    <row r="99">
      <c r="A99" t="inlineStr">
        <is>
          <t>2026-09-08</t>
        </is>
      </c>
      <c r="B99" t="inlineStr">
        <is>
          <t>Patrick</t>
        </is>
      </c>
      <c r="C99" t="inlineStr">
        <is>
          <t>Ada</t>
        </is>
      </c>
      <c r="D99" t="inlineStr">
        <is>
          <t>Morning Shift</t>
        </is>
      </c>
      <c r="E99" t="n">
        <v>2</v>
      </c>
      <c r="F99" t="inlineStr">
        <is>
          <t>Removed 2 hours</t>
        </is>
      </c>
      <c r="J99" t="inlineStr">
        <is>
          <t>migrated:Death Penalty Week 37 &amp; 38</t>
        </is>
      </c>
    </row>
    <row r="100">
      <c r="A100" t="inlineStr">
        <is>
          <t>2026-09-08</t>
        </is>
      </c>
      <c r="B100" t="inlineStr">
        <is>
          <t>Rhuzsel</t>
        </is>
      </c>
      <c r="C100" t="inlineStr">
        <is>
          <t>Lammy Queen</t>
        </is>
      </c>
      <c r="D100" t="inlineStr">
        <is>
          <t>GY-Shift</t>
        </is>
      </c>
      <c r="E100" t="n">
        <v>2</v>
      </c>
      <c r="J100" t="inlineStr">
        <is>
          <t>migrated:Death Penalty Week 37 &amp; 38</t>
        </is>
      </c>
    </row>
    <row r="101">
      <c r="A101" t="inlineStr">
        <is>
          <t>2026-09-09</t>
        </is>
      </c>
      <c r="B101" t="inlineStr">
        <is>
          <t>Isiah</t>
        </is>
      </c>
      <c r="C101" t="inlineStr">
        <is>
          <t>Power</t>
        </is>
      </c>
      <c r="D101" t="inlineStr">
        <is>
          <t>Morning Shift</t>
        </is>
      </c>
      <c r="E101" t="n">
        <v>2</v>
      </c>
      <c r="F101" t="inlineStr">
        <is>
          <t>Removed 2 hours</t>
        </is>
      </c>
      <c r="J101" t="inlineStr">
        <is>
          <t>migrated:Death Penalty Week 37 &amp; 38</t>
        </is>
      </c>
    </row>
    <row r="102">
      <c r="A102" t="inlineStr">
        <is>
          <t>2026-09-09</t>
        </is>
      </c>
      <c r="B102" t="inlineStr">
        <is>
          <t>Nikko</t>
        </is>
      </c>
      <c r="C102" t="inlineStr">
        <is>
          <t>Olleh</t>
        </is>
      </c>
      <c r="D102" t="inlineStr">
        <is>
          <t>Morning Shift</t>
        </is>
      </c>
      <c r="E102" t="n">
        <v>2</v>
      </c>
      <c r="F102" t="inlineStr">
        <is>
          <t>Removed 2 hours</t>
        </is>
      </c>
      <c r="J102" t="inlineStr">
        <is>
          <t>migrated:Death Penalty Week 37 &amp; 38</t>
        </is>
      </c>
    </row>
    <row r="103">
      <c r="A103" t="inlineStr">
        <is>
          <t>2026-09-10</t>
        </is>
      </c>
      <c r="B103" t="inlineStr">
        <is>
          <t>Cedric</t>
        </is>
      </c>
      <c r="C103" t="inlineStr">
        <is>
          <t>Dodam</t>
        </is>
      </c>
      <c r="D103" t="inlineStr">
        <is>
          <t>Morning Shift</t>
        </is>
      </c>
      <c r="E103" t="n">
        <v>2</v>
      </c>
      <c r="F103" t="inlineStr">
        <is>
          <t>Removed 2 hours</t>
        </is>
      </c>
      <c r="J103" t="inlineStr">
        <is>
          <t>migrated:Death Penalty Week 37 &amp; 38</t>
        </is>
      </c>
    </row>
    <row r="104">
      <c r="A104" t="inlineStr">
        <is>
          <t>2026-09-10</t>
        </is>
      </c>
      <c r="B104" t="inlineStr">
        <is>
          <t>Rhuzsel</t>
        </is>
      </c>
      <c r="C104" t="inlineStr">
        <is>
          <t>Lammy Queen</t>
        </is>
      </c>
      <c r="D104" t="inlineStr">
        <is>
          <t>GY-Shift</t>
        </is>
      </c>
      <c r="E104" t="n">
        <v>2</v>
      </c>
      <c r="J104" t="inlineStr">
        <is>
          <t>migrated:Death Penalty Week 37 &amp; 38</t>
        </is>
      </c>
    </row>
    <row r="105">
      <c r="A105" t="inlineStr">
        <is>
          <t>2026-09-10</t>
        </is>
      </c>
      <c r="B105" t="inlineStr">
        <is>
          <t>Rodel</t>
        </is>
      </c>
      <c r="C105" t="inlineStr">
        <is>
          <t>Pele</t>
        </is>
      </c>
      <c r="D105" t="inlineStr">
        <is>
          <t>GY-Shift</t>
        </is>
      </c>
      <c r="E105" t="n">
        <v>1</v>
      </c>
      <c r="J105" t="inlineStr">
        <is>
          <t>migrated:Death Penalty Week 37 &amp; 38</t>
        </is>
      </c>
    </row>
    <row r="106">
      <c r="A106" t="inlineStr">
        <is>
          <t>2026-09-14</t>
        </is>
      </c>
      <c r="B106" t="inlineStr">
        <is>
          <t>Cedric</t>
        </is>
      </c>
      <c r="C106" t="inlineStr">
        <is>
          <t>Dodam</t>
        </is>
      </c>
      <c r="D106" t="inlineStr">
        <is>
          <t>Morning Shift</t>
        </is>
      </c>
      <c r="E106" t="n">
        <v>2</v>
      </c>
      <c r="F106" t="inlineStr">
        <is>
          <t>Removed 2 hours</t>
        </is>
      </c>
      <c r="J106" t="inlineStr">
        <is>
          <t>migrated:Death Penalty Week 37 &amp; 38</t>
        </is>
      </c>
    </row>
    <row r="107">
      <c r="A107" t="inlineStr">
        <is>
          <t>2026-09-14</t>
        </is>
      </c>
      <c r="B107" t="inlineStr">
        <is>
          <t>Kim Carl</t>
        </is>
      </c>
      <c r="C107" t="inlineStr">
        <is>
          <t>Heon</t>
        </is>
      </c>
      <c r="D107" t="inlineStr">
        <is>
          <t>Morning Shift</t>
        </is>
      </c>
      <c r="E107" t="n">
        <v>2</v>
      </c>
      <c r="F107" t="inlineStr">
        <is>
          <t>Removed 2 hours</t>
        </is>
      </c>
      <c r="J107" t="inlineStr">
        <is>
          <t>migrated:Death Penalty Week 37 &amp; 38</t>
        </is>
      </c>
    </row>
    <row r="108">
      <c r="A108" t="inlineStr">
        <is>
          <t>2026-09-15</t>
        </is>
      </c>
      <c r="B108" t="inlineStr">
        <is>
          <t>Christelle</t>
        </is>
      </c>
      <c r="C108" t="inlineStr">
        <is>
          <t>SSEN</t>
        </is>
      </c>
      <c r="D108" t="inlineStr">
        <is>
          <t>Morning Shift</t>
        </is>
      </c>
      <c r="E108" t="n">
        <v>2</v>
      </c>
      <c r="F108" t="inlineStr">
        <is>
          <t>Removed 2 hours</t>
        </is>
      </c>
      <c r="J108" t="inlineStr">
        <is>
          <t>migrated:Death Penalty Week 37 &amp; 38</t>
        </is>
      </c>
    </row>
    <row r="109">
      <c r="A109" t="inlineStr">
        <is>
          <t>2026-09-17</t>
        </is>
      </c>
      <c r="B109" t="inlineStr">
        <is>
          <t>Christelle</t>
        </is>
      </c>
      <c r="C109" t="inlineStr">
        <is>
          <t>SSEN</t>
        </is>
      </c>
      <c r="D109" t="inlineStr">
        <is>
          <t>Morning Shift</t>
        </is>
      </c>
      <c r="E109" t="n">
        <v>2</v>
      </c>
      <c r="F109" t="inlineStr">
        <is>
          <t>Removed 2 hours</t>
        </is>
      </c>
      <c r="J109" t="inlineStr">
        <is>
          <t>migrated:Death Penalty Week 37 &amp; 38</t>
        </is>
      </c>
    </row>
    <row r="110">
      <c r="A110" t="inlineStr">
        <is>
          <t>2026-09-19</t>
        </is>
      </c>
      <c r="B110" t="inlineStr">
        <is>
          <t>Geo</t>
        </is>
      </c>
      <c r="C110" t="inlineStr">
        <is>
          <t>Sarim</t>
        </is>
      </c>
      <c r="D110" t="inlineStr">
        <is>
          <t>Morning Shift</t>
        </is>
      </c>
      <c r="E110" t="n">
        <v>2</v>
      </c>
      <c r="F110" t="inlineStr">
        <is>
          <t>Removed 2 hours</t>
        </is>
      </c>
      <c r="J110" t="inlineStr">
        <is>
          <t>migrated:Death Penalty Week 37 &amp; 38</t>
        </is>
      </c>
    </row>
    <row r="111">
      <c r="A111" t="inlineStr">
        <is>
          <t>2026-09-19</t>
        </is>
      </c>
      <c r="B111" t="inlineStr">
        <is>
          <t>Samantha</t>
        </is>
      </c>
      <c r="C111" t="inlineStr">
        <is>
          <t>Nico Robin</t>
        </is>
      </c>
      <c r="D111" t="inlineStr">
        <is>
          <t>Morning Shift</t>
        </is>
      </c>
      <c r="E111" t="n">
        <v>2</v>
      </c>
      <c r="F111" t="inlineStr">
        <is>
          <t>Removed 2 hours</t>
        </is>
      </c>
      <c r="J111" t="inlineStr">
        <is>
          <t>migrated:Death Penalty Week 37 &amp; 38</t>
        </is>
      </c>
    </row>
  </sheetData>
  <autoFilter ref="A1:J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60" customWidth="1" min="3" max="3"/>
  </cols>
  <sheetData>
    <row r="1">
      <c r="A1" s="12" t="inlineStr">
        <is>
          <t>Setting</t>
        </is>
      </c>
      <c r="B1" s="12" t="inlineStr">
        <is>
          <t>Value</t>
        </is>
      </c>
      <c r="C1" s="12" t="inlineStr">
        <is>
          <t>Note</t>
        </is>
      </c>
    </row>
    <row r="2">
      <c r="A2" t="inlineStr">
        <is>
          <t>Maintenance Day</t>
        </is>
      </c>
      <c r="B2" t="inlineStr">
        <is>
          <t>Wed</t>
        </is>
      </c>
      <c r="C2" t="inlineStr">
        <is>
          <t>Weekly game maintenance day (Sun/Mon/…/Sat). Blank = none</t>
        </is>
      </c>
    </row>
    <row r="3">
      <c r="A3" t="inlineStr">
        <is>
          <t>Maintenance Start</t>
        </is>
      </c>
      <c r="B3" t="inlineStr">
        <is>
          <t>05:00</t>
        </is>
      </c>
      <c r="C3" t="inlineStr">
        <is>
          <t>Same clock as the Schedule times</t>
        </is>
      </c>
    </row>
    <row r="4">
      <c r="A4" t="inlineStr">
        <is>
          <t>Maintenance End</t>
        </is>
      </c>
      <c r="B4" t="inlineStr">
        <is>
          <t>09:00</t>
        </is>
      </c>
      <c r="C4" t="inlineStr">
        <is>
          <t>Shift hours inside this window are not counted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6" t="inlineStr">
        <is>
          <t>Per 8-hour shift, paid on quota.   Ceiling $6   (Company $4  /  Players’ proposal $12)</t>
        </is>
      </c>
    </row>
    <row r="2">
      <c r="A2" t="inlineStr">
        <is>
          <t>Classes</t>
        </is>
      </c>
      <c r="B2" t="inlineStr">
        <is>
          <t>Who</t>
        </is>
      </c>
      <c r="C2" t="inlineStr">
        <is>
          <t>40 ~ 44</t>
        </is>
      </c>
      <c r="E2" t="inlineStr">
        <is>
          <t>45 ~ 50  (hardest band)</t>
        </is>
      </c>
      <c r="H2" t="inlineStr">
        <is>
          <t>51 ↑</t>
        </is>
      </c>
      <c r="K2" t="inlineStr">
        <is>
          <t>54 ↑</t>
        </is>
      </c>
    </row>
    <row r="3">
      <c r="A3" t="inlineStr">
        <is>
          <t>Knight</t>
        </is>
      </c>
      <c r="B3" t="inlineStr">
        <is>
          <t>Quota ↑</t>
        </is>
      </c>
      <c r="C3" t="inlineStr">
        <is>
          <t>9% ↑</t>
        </is>
      </c>
      <c r="D3" t="inlineStr">
        <is>
          <t>10% ↑</t>
        </is>
      </c>
      <c r="E3" t="inlineStr">
        <is>
          <t>7% ↑</t>
        </is>
      </c>
      <c r="F3" t="inlineStr">
        <is>
          <t>8% ↑</t>
        </is>
      </c>
      <c r="G3" t="inlineStr">
        <is>
          <t>9% ↑</t>
        </is>
      </c>
      <c r="H3" t="inlineStr">
        <is>
          <t>8% ↑</t>
        </is>
      </c>
      <c r="I3" t="inlineStr">
        <is>
          <t>9% ↑</t>
        </is>
      </c>
      <c r="J3" t="inlineStr">
        <is>
          <t>10% ↑</t>
        </is>
      </c>
      <c r="K3" t="inlineStr">
        <is>
          <t>1% ↑</t>
        </is>
      </c>
      <c r="L3" t="inlineStr">
        <is>
          <t>1.1% ↑</t>
        </is>
      </c>
      <c r="M3" t="n">
        <v>0.012</v>
      </c>
    </row>
    <row r="4">
      <c r="B4" t="inlineStr">
        <is>
          <t>Player</t>
        </is>
      </c>
      <c r="C4" t="n">
        <v>3</v>
      </c>
      <c r="D4" t="n">
        <v>4</v>
      </c>
      <c r="E4" t="n">
        <v>4</v>
      </c>
      <c r="F4" t="n">
        <v>5</v>
      </c>
      <c r="G4" t="n">
        <v>6</v>
      </c>
      <c r="H4" t="n">
        <v>4</v>
      </c>
      <c r="I4" t="n">
        <v>5</v>
      </c>
      <c r="J4" t="n">
        <v>6</v>
      </c>
      <c r="K4" t="n">
        <v>4</v>
      </c>
      <c r="L4" t="n">
        <v>5</v>
      </c>
      <c r="M4" t="n">
        <v>6</v>
      </c>
    </row>
    <row r="5">
      <c r="B5" t="inlineStr">
        <is>
          <t>Trainer</t>
        </is>
      </c>
      <c r="C5" t="inlineStr">
        <is>
          <t>—</t>
        </is>
      </c>
      <c r="D5" t="n">
        <v>1</v>
      </c>
      <c r="E5" t="inlineStr">
        <is>
          <t>—</t>
        </is>
      </c>
      <c r="F5" t="n">
        <v>1</v>
      </c>
      <c r="G5" t="n">
        <v>1</v>
      </c>
      <c r="H5" t="inlineStr">
        <is>
          <t>—</t>
        </is>
      </c>
      <c r="I5" t="n">
        <v>1</v>
      </c>
      <c r="J5" t="n">
        <v>1</v>
      </c>
      <c r="K5" t="inlineStr">
        <is>
          <t>—</t>
        </is>
      </c>
      <c r="L5" t="n">
        <v>1</v>
      </c>
      <c r="M5" t="n">
        <v>1</v>
      </c>
    </row>
    <row r="6">
      <c r="A6" t="inlineStr">
        <is>
          <t>Elf</t>
        </is>
      </c>
      <c r="B6" t="inlineStr">
        <is>
          <t>Quota ↑</t>
        </is>
      </c>
      <c r="C6" t="inlineStr">
        <is>
          <t>6.5% ↑</t>
        </is>
      </c>
      <c r="D6" t="inlineStr">
        <is>
          <t>7.5% ↑</t>
        </is>
      </c>
      <c r="E6" t="inlineStr">
        <is>
          <t>5% ↑</t>
        </is>
      </c>
      <c r="F6" t="inlineStr">
        <is>
          <t>6% ↑</t>
        </is>
      </c>
      <c r="G6" t="inlineStr">
        <is>
          <t>7% ↑</t>
        </is>
      </c>
      <c r="H6" t="inlineStr">
        <is>
          <t>6% ↑</t>
        </is>
      </c>
      <c r="I6" t="inlineStr">
        <is>
          <t>7% ↑</t>
        </is>
      </c>
      <c r="J6" t="inlineStr">
        <is>
          <t>8% ↑</t>
        </is>
      </c>
    </row>
    <row r="7">
      <c r="B7" t="inlineStr">
        <is>
          <t>Player</t>
        </is>
      </c>
      <c r="C7" t="n">
        <v>3</v>
      </c>
      <c r="D7" t="n">
        <v>4</v>
      </c>
      <c r="E7" t="n">
        <v>4</v>
      </c>
      <c r="F7" t="n">
        <v>5</v>
      </c>
      <c r="G7" t="n">
        <v>6</v>
      </c>
      <c r="H7" t="n">
        <v>4</v>
      </c>
      <c r="I7" t="n">
        <v>5</v>
      </c>
      <c r="J7" t="n">
        <v>6</v>
      </c>
    </row>
    <row r="8">
      <c r="B8" t="inlineStr">
        <is>
          <t>Trainer</t>
        </is>
      </c>
      <c r="C8" t="inlineStr">
        <is>
          <t>—</t>
        </is>
      </c>
      <c r="D8" t="n">
        <v>1</v>
      </c>
      <c r="E8" t="inlineStr">
        <is>
          <t>—</t>
        </is>
      </c>
      <c r="F8" t="n">
        <v>1</v>
      </c>
      <c r="G8" t="n">
        <v>1</v>
      </c>
      <c r="H8" t="inlineStr">
        <is>
          <t>—</t>
        </is>
      </c>
      <c r="I8" t="n">
        <v>1</v>
      </c>
      <c r="J8" t="n">
        <v>1</v>
      </c>
    </row>
    <row r="9">
      <c r="A9" t="inlineStr">
        <is>
          <t>Wizard</t>
        </is>
      </c>
      <c r="B9" t="inlineStr">
        <is>
          <t>Quota ↑</t>
        </is>
      </c>
      <c r="C9" t="inlineStr">
        <is>
          <t>6% ↑</t>
        </is>
      </c>
      <c r="D9" t="inlineStr">
        <is>
          <t>7% ↑</t>
        </is>
      </c>
      <c r="E9" t="inlineStr">
        <is>
          <t>4.5% ↑</t>
        </is>
      </c>
      <c r="F9" t="inlineStr">
        <is>
          <t>5.5% ↑</t>
        </is>
      </c>
      <c r="G9" t="inlineStr">
        <is>
          <t>6.5% ↑</t>
        </is>
      </c>
      <c r="H9" t="inlineStr">
        <is>
          <t>5.5% ↑</t>
        </is>
      </c>
      <c r="I9" t="inlineStr">
        <is>
          <t>6.5% ↑</t>
        </is>
      </c>
      <c r="J9" t="inlineStr">
        <is>
          <t>7.5% ↑</t>
        </is>
      </c>
    </row>
    <row r="10">
      <c r="B10" t="inlineStr">
        <is>
          <t>Player</t>
        </is>
      </c>
      <c r="C10" t="n">
        <v>3</v>
      </c>
      <c r="D10" t="n">
        <v>4</v>
      </c>
      <c r="E10" t="n">
        <v>4</v>
      </c>
      <c r="F10" t="n">
        <v>5</v>
      </c>
      <c r="G10" t="n">
        <v>6</v>
      </c>
      <c r="H10" t="n">
        <v>4</v>
      </c>
      <c r="I10" t="n">
        <v>5</v>
      </c>
      <c r="J10" t="n">
        <v>6</v>
      </c>
    </row>
    <row r="11">
      <c r="B11" t="inlineStr">
        <is>
          <t>Trainer</t>
        </is>
      </c>
      <c r="C11" t="inlineStr">
        <is>
          <t>—</t>
        </is>
      </c>
      <c r="D11" t="n">
        <v>1</v>
      </c>
      <c r="E11" t="inlineStr">
        <is>
          <t>—</t>
        </is>
      </c>
      <c r="F11" t="n">
        <v>1</v>
      </c>
      <c r="G11" t="n">
        <v>1</v>
      </c>
      <c r="H11" t="inlineStr">
        <is>
          <t>—</t>
        </is>
      </c>
      <c r="I11" t="n">
        <v>1</v>
      </c>
      <c r="J11" t="n">
        <v>1</v>
      </c>
    </row>
    <row r="13">
      <c r="A13" t="inlineStr">
        <is>
          <t>* Per 8-hour basis.  8h or more = (quota / 8) × Playtime.</t>
        </is>
      </c>
    </row>
    <row r="14">
      <c r="A14" t="inlineStr">
        <is>
          <t>* Knight / Elf / Wizard = KPI %.  Thresholds are tunable from TargetWeek data.</t>
        </is>
      </c>
    </row>
    <row r="15">
      <c r="A15" t="inlineStr">
        <is>
          <t>* All achievements confirmed by capture — start/end capture properly.</t>
        </is>
      </c>
    </row>
    <row r="16">
      <c r="A16" t="inlineStr">
        <is>
          <t>* No Trainer incentive at Tier 1.  Trainer earns $1 only when the player reaches Tier 2 or Tier 3.</t>
        </is>
      </c>
    </row>
    <row r="17"/>
  </sheetData>
  <mergeCells count="13">
    <mergeCell ref="A1:J1"/>
    <mergeCell ref="E2:G2"/>
    <mergeCell ref="K2:M2"/>
    <mergeCell ref="A14:J14"/>
    <mergeCell ref="C2:D2"/>
    <mergeCell ref="A17:J17"/>
    <mergeCell ref="A3:A5"/>
    <mergeCell ref="A15:J15"/>
    <mergeCell ref="H2:J2"/>
    <mergeCell ref="A16:J16"/>
    <mergeCell ref="A6:A8"/>
    <mergeCell ref="A9:A1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2026-09-25T09:45:16Z</dcterms:created>
  <dcterms:modified xsi:type="dcterms:W3CDTF">2026-09-25T09:45:16Z</dcterms:modified>
</cp:coreProperties>
</file>